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ver" sheetId="1" state="visible" r:id="rId3"/>
    <sheet name="1. Configure" sheetId="2" state="visible" r:id="rId4"/>
    <sheet name="2.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<sst xmlns="http://schemas.openxmlformats.org/spreadsheetml/2006/main" count="373" uniqueCount="322">
  <si>
    <t xml:space="preserve">MuleSoft → AWS Migration</t>
  </si>
  <si>
    <t xml:space="preserve">Total Cost of Ownership &amp; Return on Investment Analysis</t>
  </si>
  <si>
    <t xml:space="preserve">CLIENT-READY ANALYSIS TOOL</t>
  </si>
  <si>
    <t xml:space="preserve">KEY METRICS AT A GLANCE</t>
  </si>
  <si>
    <t xml:space="preserve">Current Annual MuleSoft Cost</t>
  </si>
  <si>
    <t xml:space="preserve">Projected Annual AWS Cost</t>
  </si>
  <si>
    <t xml:space="preserve">Year 1 Savings</t>
  </si>
  <si>
    <t xml:space="preserve">Total Migration Investment</t>
  </si>
  <si>
    <t xml:space="preserve">Payback Period</t>
  </si>
  <si>
    <t xml:space="preserve">5-Year ROI</t>
  </si>
  <si>
    <t xml:space="preserve">ANNUAL COST BREAKDOWN — YEAR 1 (PLATFORM vs DEVELOPERS)</t>
  </si>
  <si>
    <t xml:space="preserve">Platform &amp; Infrastructure</t>
  </si>
  <si>
    <t xml:space="preserve">Developers</t>
  </si>
  <si>
    <t xml:space="preserve">Total</t>
  </si>
  <si>
    <t xml:space="preserve">MuleSoft</t>
  </si>
  <si>
    <t xml:space="preserve">AWS</t>
  </si>
  <si>
    <t xml:space="preserve">HOW TO USE THIS CALCULATOR</t>
  </si>
  <si>
    <t xml:space="preserve">1. Open the '1. Configure' sheet and fill in your organization's actual data (all blue cells are editable).</t>
  </si>
  <si>
    <t xml:space="preserve">2. Start with the 'Typical Range' values as a baseline, then refine with your real numbers.</t>
  </si>
  <si>
    <t xml:space="preserve">3. Switch to the '2. Dashboard' sheet to see the auto-calculated TCO comparison, ROI, and charts.</t>
  </si>
  <si>
    <t xml:space="preserve">4. Adjust any input and the entire analysis updates automatically — all sheets are formula-linked.</t>
  </si>
  <si>
    <t xml:space="preserve">SHEET NAVIGATION</t>
  </si>
  <si>
    <t xml:space="preserve">Sheet</t>
  </si>
  <si>
    <t xml:space="preserve">What You'll Find There</t>
  </si>
  <si>
    <t xml:space="preserve">1. Configure</t>
  </si>
  <si>
    <t xml:space="preserve">All editable inputs: your current MuleSoft deployment, AWS target architecture, migration scope, unit costs, and financial assumptions.</t>
  </si>
  <si>
    <t xml:space="preserve">2. Dashboard</t>
  </si>
  <si>
    <t xml:space="preserve">Complete results: 5-year TCO comparison, migration investment breakdown, ROI analysis, payback period, cumulative savings, and three charts.</t>
  </si>
  <si>
    <t xml:space="preserve">All calculations are formula-linked and update automatically when you change any input in the Configure sheet.</t>
  </si>
  <si>
    <t xml:space="preserve">Prepared using standard AWS pricing and industry benchmarks. Actual results will vary based on your specific architecture and negotiation outcomes.</t>
  </si>
  <si>
    <t xml:space="preserve">Configure your migration parameters. All blue cells are editable. Everything else auto-calculates.</t>
  </si>
  <si>
    <t xml:space="preserve">Parameter</t>
  </si>
  <si>
    <t xml:space="preserve">Your Value</t>
  </si>
  <si>
    <t xml:space="preserve">Unit</t>
  </si>
  <si>
    <t xml:space="preserve">Description</t>
  </si>
  <si>
    <t xml:space="preserve">Typical Range</t>
  </si>
  <si>
    <t xml:space="preserve">Source</t>
  </si>
  <si>
    <t xml:space="preserve">A. CURRENT MULESOFT DEPLOYMENT</t>
  </si>
  <si>
    <t xml:space="preserve">Production vCores</t>
  </si>
  <si>
    <t xml:space="preserve">vCores</t>
  </si>
  <si>
    <t xml:space="preserve">MuleSoft runtime vCores in Production. Each vCore = 1 vCPU + 2 GB RAM.</t>
  </si>
  <si>
    <t xml:space="preserve">4–16 vCores for mid-market</t>
  </si>
  <si>
    <t xml:space="preserve">Anypoint Runtime Manager</t>
  </si>
  <si>
    <t xml:space="preserve">Non-Production vCores</t>
  </si>
  <si>
    <t xml:space="preserve">Dev, QA, Staging, and UAT environments. Typically 30–50% of prod.</t>
  </si>
  <si>
    <t xml:space="preserve">2–8 vCores</t>
  </si>
  <si>
    <t xml:space="preserve">Include sandbox environments</t>
  </si>
  <si>
    <t xml:space="preserve">Platform Tier</t>
  </si>
  <si>
    <t xml:space="preserve">Platinum</t>
  </si>
  <si>
    <t xml:space="preserve">Tier</t>
  </si>
  <si>
    <t xml:space="preserve">Subscription tier: Gold ($75K/yr), Platinum ($150K/yr), Titanium ($300K/yr).</t>
  </si>
  <si>
    <t xml:space="preserve">Platinum is most common</t>
  </si>
  <si>
    <t xml:space="preserve">Current contract</t>
  </si>
  <si>
    <t xml:space="preserve">Annual Platform Subscription</t>
  </si>
  <si>
    <t xml:space="preserve">USD/yr</t>
  </si>
  <si>
    <t xml:space="preserve">Base platform fee before vCores and connectors. Billed annually.</t>
  </si>
  <si>
    <t xml:space="preserve">$75K–$300K depending on tier</t>
  </si>
  <si>
    <t xml:space="preserve">Salesforce invoice</t>
  </si>
  <si>
    <t xml:space="preserve">Premium Connectors (count)</t>
  </si>
  <si>
    <t xml:space="preserve">connectors</t>
  </si>
  <si>
    <t xml:space="preserve">Licensed connectors: SAP, Oracle, Workday, Salesforce, NetSuite, etc.</t>
  </si>
  <si>
    <t xml:space="preserve">0–10 typical</t>
  </si>
  <si>
    <t xml:space="preserve">Anypoint Exchange</t>
  </si>
  <si>
    <t xml:space="preserve">Cost per Premium Connector</t>
  </si>
  <si>
    <t xml:space="preserve">Annual license cost per premium connector.</t>
  </si>
  <si>
    <t xml:space="preserve">$10K–$15K each</t>
  </si>
  <si>
    <t xml:space="preserve">Salesforce quote</t>
  </si>
  <si>
    <t xml:space="preserve">Anypoint MQ (monthly)</t>
  </si>
  <si>
    <t xml:space="preserve">USD/mo</t>
  </si>
  <si>
    <t xml:space="preserve">Managed messaging queue costs. Charged by message volume and storage.</t>
  </si>
  <si>
    <t xml:space="preserve">$500–$5,000/mo</t>
  </si>
  <si>
    <t xml:space="preserve">Anypoint MQ dashboard</t>
  </si>
  <si>
    <t xml:space="preserve">Dedicated Load Balancers</t>
  </si>
  <si>
    <t xml:space="preserve">DLBs</t>
  </si>
  <si>
    <t xml:space="preserve">Number of DLBs for custom TLS domains and static IPs.</t>
  </si>
  <si>
    <t xml:space="preserve">1–3 typical</t>
  </si>
  <si>
    <t xml:space="preserve">Network architecture</t>
  </si>
  <si>
    <t xml:space="preserve">Cost per DLB (monthly)</t>
  </si>
  <si>
    <t xml:space="preserve">Monthly cost per DLB. Includes SSL termination and static IP.</t>
  </si>
  <si>
    <t xml:space="preserve">$3,000–$5,000 each</t>
  </si>
  <si>
    <t xml:space="preserve">Salesforce pricing</t>
  </si>
  <si>
    <t xml:space="preserve">Annual Support &amp; Maintenance</t>
  </si>
  <si>
    <t xml:space="preserve">Premier support, success plans, or extended support hours.</t>
  </si>
  <si>
    <t xml:space="preserve">$50K–$100K/yr</t>
  </si>
  <si>
    <t xml:space="preserve">Support contract</t>
  </si>
  <si>
    <t xml:space="preserve">MuleSoft Developers (FTE)</t>
  </si>
  <si>
    <t xml:space="preserve">FTEs</t>
  </si>
  <si>
    <t xml:space="preserve">Full-time employees dedicated to MuleSoft development and ops.</t>
  </si>
  <si>
    <t xml:space="preserve">3–8 for mid-market</t>
  </si>
  <si>
    <t xml:space="preserve">HR / org chart</t>
  </si>
  <si>
    <t xml:space="preserve">Avg MuleSoft Developer Salary</t>
  </si>
  <si>
    <t xml:space="preserve">Fully-loaded annual salary per MuleSoft developer.</t>
  </si>
  <si>
    <t xml:space="preserve">$150K–$180K</t>
  </si>
  <si>
    <t xml:space="preserve">Compensation data</t>
  </si>
  <si>
    <t xml:space="preserve">Annual Training &amp; Certification</t>
  </si>
  <si>
    <t xml:space="preserve">MuleSoft certifications and conference attendance.</t>
  </si>
  <si>
    <t xml:space="preserve">$10K–$20K/yr</t>
  </si>
  <si>
    <t xml:space="preserve">Training budget</t>
  </si>
  <si>
    <t xml:space="preserve">Contract Annual Escalation</t>
  </si>
  <si>
    <t xml:space="preserve">Percent</t>
  </si>
  <si>
    <t xml:space="preserve">Year-over-year price increase in MuleSoft contract.</t>
  </si>
  <si>
    <t xml:space="preserve">5% to 8%</t>
  </si>
  <si>
    <t xml:space="preserve">Contract terms</t>
  </si>
  <si>
    <t xml:space="preserve">B. AWS TARGET ARCHITECTURE &amp; USAGE</t>
  </si>
  <si>
    <t xml:space="preserve">Monthly API Requests</t>
  </si>
  <si>
    <t xml:space="preserve">millions/mo</t>
  </si>
  <si>
    <t xml:space="preserve">Total API calls hitting API Gateway per month.</t>
  </si>
  <si>
    <t xml:space="preserve">20–100M for mid-market</t>
  </si>
  <si>
    <t xml:space="preserve">Current API gateway metrics</t>
  </si>
  <si>
    <t xml:space="preserve">API Gateway Type</t>
  </si>
  <si>
    <t xml:space="preserve">HTTP</t>
  </si>
  <si>
    <t xml:space="preserve">Type</t>
  </si>
  <si>
    <t xml:space="preserve">HTTP API ($1/M req) is cheaper than REST ($3.50/M req).</t>
  </si>
  <si>
    <t xml:space="preserve">HTTP: $1/M | REST: $3.50/M</t>
  </si>
  <si>
    <t xml:space="preserve">Architecture decision</t>
  </si>
  <si>
    <t xml:space="preserve">Lambda Avg Memory</t>
  </si>
  <si>
    <t xml:space="preserve">MB</t>
  </si>
  <si>
    <t xml:space="preserve">Average memory allocated per Lambda function.</t>
  </si>
  <si>
    <t xml:space="preserve">256MB–1024MB typical</t>
  </si>
  <si>
    <t xml:space="preserve">CloudWatch Logs Insights</t>
  </si>
  <si>
    <t xml:space="preserve">Lambda Avg Duration</t>
  </si>
  <si>
    <t xml:space="preserve">ms</t>
  </si>
  <si>
    <t xml:space="preserve">Average cold-start + execution time per Lambda.</t>
  </si>
  <si>
    <t xml:space="preserve">100–500ms typical</t>
  </si>
  <si>
    <t xml:space="preserve">X-Ray or CloudWatch</t>
  </si>
  <si>
    <t xml:space="preserve">Lambda Invocations (monthly)</t>
  </si>
  <si>
    <t xml:space="preserve">Total Lambda executions per month.</t>
  </si>
  <si>
    <t xml:space="preserve">80–95% of API count</t>
  </si>
  <si>
    <t xml:space="preserve">CloudWatch metrics</t>
  </si>
  <si>
    <t xml:space="preserve">SQS Messages (monthly)</t>
  </si>
  <si>
    <t xml:space="preserve">Amazon SQS messages sent/received.</t>
  </si>
  <si>
    <t xml:space="preserve">10–50M typical</t>
  </si>
  <si>
    <t xml:space="preserve">Messaging architecture</t>
  </si>
  <si>
    <t xml:space="preserve">EventBridge Events (monthly)</t>
  </si>
  <si>
    <t xml:space="preserve">EventBridge events published and consumed.</t>
  </si>
  <si>
    <t xml:space="preserve">5–20M typical</t>
  </si>
  <si>
    <t xml:space="preserve">Event-driven design</t>
  </si>
  <si>
    <t xml:space="preserve">Step Functions Transitions (monthly)</t>
  </si>
  <si>
    <t xml:space="preserve">State transitions in Step Functions workflows.</t>
  </si>
  <si>
    <t xml:space="preserve">1–10M typical</t>
  </si>
  <si>
    <t xml:space="preserve">Workflow complexity</t>
  </si>
  <si>
    <t xml:space="preserve">Fargate vCPU Hours / day</t>
  </si>
  <si>
    <t xml:space="preserve">vCPU-hrs/day</t>
  </si>
  <si>
    <t xml:space="preserve">Total vCPU-hours for Fargate containers daily.</t>
  </si>
  <si>
    <t xml:space="preserve">24–96 vCPU-hrs</t>
  </si>
  <si>
    <t xml:space="preserve">Container metrics</t>
  </si>
  <si>
    <t xml:space="preserve">Fargate Memory GB / day</t>
  </si>
  <si>
    <t xml:space="preserve">GB-hrs/day</t>
  </si>
  <si>
    <t xml:space="preserve">Total memory-hours for Fargate containers daily.</t>
  </si>
  <si>
    <t xml:space="preserve">2x vCPU hours typical</t>
  </si>
  <si>
    <t xml:space="preserve">Container specs</t>
  </si>
  <si>
    <t xml:space="preserve">CloudWatch Logs (monthly)</t>
  </si>
  <si>
    <t xml:space="preserve">GB/mo</t>
  </si>
  <si>
    <t xml:space="preserve">Log data ingested into CloudWatch Logs.</t>
  </si>
  <si>
    <t xml:space="preserve">200–1000 GB/mo</t>
  </si>
  <si>
    <t xml:space="preserve">Logging strategy</t>
  </si>
  <si>
    <t xml:space="preserve">Data Transfer Out (monthly)</t>
  </si>
  <si>
    <t xml:space="preserve">TB/mo</t>
  </si>
  <si>
    <t xml:space="preserve">Egress data leaving AWS to external systems.</t>
  </si>
  <si>
    <t xml:space="preserve">1–5 TB typical</t>
  </si>
  <si>
    <t xml:space="preserve">AWS Developers (FTE)</t>
  </si>
  <si>
    <t xml:space="preserve">Post-migration team size. Often same headcount but lower salary.</t>
  </si>
  <si>
    <t xml:space="preserve">3–6 FTEs</t>
  </si>
  <si>
    <t xml:space="preserve">HR planning</t>
  </si>
  <si>
    <t xml:space="preserve">Avg AWS Developer Salary</t>
  </si>
  <si>
    <t xml:space="preserve">Fully-loaded salary for standard integration developers.</t>
  </si>
  <si>
    <t xml:space="preserve">$130K–$150K</t>
  </si>
  <si>
    <t xml:space="preserve">Market data</t>
  </si>
  <si>
    <t xml:space="preserve">AWS Training Cost</t>
  </si>
  <si>
    <t xml:space="preserve">AWS certifications and internal enablement.</t>
  </si>
  <si>
    <t xml:space="preserve">$5K–$10K/yr</t>
  </si>
  <si>
    <t xml:space="preserve">AWS Enterprise Discount</t>
  </si>
  <si>
    <t xml:space="preserve">Volume discount or Reserved Instance savings.</t>
  </si>
  <si>
    <t xml:space="preserve">10% to 20%</t>
  </si>
  <si>
    <t xml:space="preserve">AWS account team</t>
  </si>
  <si>
    <t xml:space="preserve">C. MIGRATION PROJECT SCOPE</t>
  </si>
  <si>
    <t xml:space="preserve">Integrations to Migrate</t>
  </si>
  <si>
    <t xml:space="preserve">count</t>
  </si>
  <si>
    <t xml:space="preserve">Total MuleSoft flows, APIs, and integrations in scope.</t>
  </si>
  <si>
    <t xml:space="preserve">15–50 typical</t>
  </si>
  <si>
    <t xml:space="preserve">MuleSoft inventory</t>
  </si>
  <si>
    <t xml:space="preserve">Complex Integrations (%)</t>
  </si>
  <si>
    <t xml:space="preserve">Share requiring heavy replatforming: SAP/Oracle, multi-step.</t>
  </si>
  <si>
    <t xml:space="preserve">20% to 40%</t>
  </si>
  <si>
    <t xml:space="preserve">Architecture review</t>
  </si>
  <si>
    <t xml:space="preserve">Medium Integrations (%)</t>
  </si>
  <si>
    <t xml:space="preserve">Standard REST/SOAP flows with moderate business logic.</t>
  </si>
  <si>
    <t xml:space="preserve">40% to 60%</t>
  </si>
  <si>
    <t xml:space="preserve">Simple Integrations (%)</t>
  </si>
  <si>
    <t xml:space="preserve">Lightweight pass-through, proxy, or simple routing flows.</t>
  </si>
  <si>
    <t xml:space="preserve">10% to 30%</t>
  </si>
  <si>
    <t xml:space="preserve">DataWeave Transformations</t>
  </si>
  <si>
    <t xml:space="preserve">Complex DataWeave mappings that must be rewritten.</t>
  </si>
  <si>
    <t xml:space="preserve">20–80</t>
  </si>
  <si>
    <t xml:space="preserve">Code inventory</t>
  </si>
  <si>
    <t xml:space="preserve">Migration Timeline (months)</t>
  </si>
  <si>
    <t xml:space="preserve">months</t>
  </si>
  <si>
    <t xml:space="preserve">Total project duration from kickoff to production cutover.</t>
  </si>
  <si>
    <t xml:space="preserve">9–18 months</t>
  </si>
  <si>
    <t xml:space="preserve">Project plan</t>
  </si>
  <si>
    <t xml:space="preserve">Parallel Run (months)</t>
  </si>
  <si>
    <t xml:space="preserve">Duration where both MuleSoft and AWS run simultaneously.</t>
  </si>
  <si>
    <t xml:space="preserve">2–4 months</t>
  </si>
  <si>
    <t xml:space="preserve">Risk management plan</t>
  </si>
  <si>
    <t xml:space="preserve">External Consulting (hours)</t>
  </si>
  <si>
    <t xml:space="preserve">hours</t>
  </si>
  <si>
    <t xml:space="preserve">Hours from AWS migration partner or SIs.</t>
  </si>
  <si>
    <t xml:space="preserve">500–1,500 hours</t>
  </si>
  <si>
    <t xml:space="preserve">SOW / proposal</t>
  </si>
  <si>
    <t xml:space="preserve">D. UNIT COST ASSUMPTIONS — ALL EDITABLE</t>
  </si>
  <si>
    <t xml:space="preserve">Cost per Complex Integration</t>
  </si>
  <si>
    <t xml:space="preserve">USD</t>
  </si>
  <si>
    <t xml:space="preserve">Full replatforming: redesign, custom connector, testing.</t>
  </si>
  <si>
    <t xml:space="preserve">$25K–$45K</t>
  </si>
  <si>
    <t xml:space="preserve">SI quotes &amp; historical projects</t>
  </si>
  <si>
    <t xml:space="preserve">Cost per Medium Integration</t>
  </si>
  <si>
    <t xml:space="preserve">Standard migration: convert flow to Lambda/API Gateway.</t>
  </si>
  <si>
    <t xml:space="preserve">$15K–$25K</t>
  </si>
  <si>
    <t xml:space="preserve">Cost per Simple Integration</t>
  </si>
  <si>
    <t xml:space="preserve">Lift-and-shift to serverless: minimal logic changes.</t>
  </si>
  <si>
    <t xml:space="preserve">$5K–$10K</t>
  </si>
  <si>
    <t xml:space="preserve">Cost per Transformation Rewrite</t>
  </si>
  <si>
    <t xml:space="preserve">Rewrite DataWeave to Python/Node.js with unit tests.</t>
  </si>
  <si>
    <t xml:space="preserve">$4K–$8K</t>
  </si>
  <si>
    <t xml:space="preserve">Development estimate</t>
  </si>
  <si>
    <t xml:space="preserve">Consulting Hourly Rate</t>
  </si>
  <si>
    <t xml:space="preserve">USD/hr</t>
  </si>
  <si>
    <t xml:space="preserve">Blended rate for AWS migration consultants.</t>
  </si>
  <si>
    <t xml:space="preserve">$150–$200/hr blended</t>
  </si>
  <si>
    <t xml:space="preserve">Partner SOW / rate card</t>
  </si>
  <si>
    <t xml:space="preserve">Testing &amp; QA (% of dev cost)</t>
  </si>
  <si>
    <t xml:space="preserve">Testing budget as percentage of total dev effort.</t>
  </si>
  <si>
    <t xml:space="preserve">25% to 35%</t>
  </si>
  <si>
    <t xml:space="preserve">QA planning</t>
  </si>
  <si>
    <t xml:space="preserve">Risk &amp; Contingency (%)</t>
  </si>
  <si>
    <t xml:space="preserve">Buffer for scope creep, unknown complexity, rework.</t>
  </si>
  <si>
    <t xml:space="preserve">15% to 25%</t>
  </si>
  <si>
    <t xml:space="preserve">PM best practice</t>
  </si>
  <si>
    <t xml:space="preserve">Discovery &amp; Assessment (fixed)</t>
  </si>
  <si>
    <t xml:space="preserve">One-time architecture review and migration roadmap.</t>
  </si>
  <si>
    <t xml:space="preserve">$40K–$60K</t>
  </si>
  <si>
    <t xml:space="preserve">Assessment SOW</t>
  </si>
  <si>
    <t xml:space="preserve">Temporary Tools &amp; Licenses</t>
  </si>
  <si>
    <t xml:space="preserve">Testing tools, monitoring, temp AWS credits, utilities.</t>
  </si>
  <si>
    <t xml:space="preserve">$15K–$30K</t>
  </si>
  <si>
    <t xml:space="preserve">Tooling budget</t>
  </si>
  <si>
    <t xml:space="preserve">AWS Training per Person</t>
  </si>
  <si>
    <t xml:space="preserve">Per developer for AWS certification exams and courses.</t>
  </si>
  <si>
    <t xml:space="preserve">$1,500–$2,500</t>
  </si>
  <si>
    <t xml:space="preserve">AWS Training</t>
  </si>
  <si>
    <t xml:space="preserve">E. FINANCIAL PARAMETERS</t>
  </si>
  <si>
    <t xml:space="preserve">Analysis Period</t>
  </si>
  <si>
    <t xml:space="preserve">years</t>
  </si>
  <si>
    <t xml:space="preserve">Total horizon for TCO and ROI calculation.</t>
  </si>
  <si>
    <t xml:space="preserve">3–5 years</t>
  </si>
  <si>
    <t xml:space="preserve">CFO / finance guidance</t>
  </si>
  <si>
    <t xml:space="preserve">Discount Rate (WACC)</t>
  </si>
  <si>
    <t xml:space="preserve">Weighted average cost of capital. Used for NPV.</t>
  </si>
  <si>
    <t xml:space="preserve">7% to 10%</t>
  </si>
  <si>
    <t xml:space="preserve">Finance department</t>
  </si>
  <si>
    <t xml:space="preserve">AWS Usage Growth (annual)</t>
  </si>
  <si>
    <t xml:space="preserve">Expected YoY growth in API calls, Lambda, messaging.</t>
  </si>
  <si>
    <t xml:space="preserve">10% to 25%</t>
  </si>
  <si>
    <t xml:space="preserve">Business growth plan</t>
  </si>
  <si>
    <t xml:space="preserve">Tip: Start with the typical ranges, then refine with your actual numbers. The Dashboard tab updates automatically.</t>
  </si>
  <si>
    <t xml:space="preserve">Executive Dashboard</t>
  </si>
  <si>
    <t xml:space="preserve">All values auto-calculated from the Configure sheet. Change inputs there to update this dashboard.</t>
  </si>
  <si>
    <t xml:space="preserve">Projected Annual AWS Cost (Y1)</t>
  </si>
  <si>
    <t xml:space="preserve">Year 1 Operational Savings</t>
  </si>
  <si>
    <t xml:space="preserve">Simple Payback Period</t>
  </si>
  <si>
    <t xml:space="preserve">5-Year NPV of Savings</t>
  </si>
  <si>
    <t xml:space="preserve">5-Year Total Savings</t>
  </si>
  <si>
    <t xml:space="preserve">5-YEAR COST COMPARISON: MULESOFT VS AWS</t>
  </si>
  <si>
    <t xml:space="preserve">Cost Category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</si>
  <si>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</si>
  <si>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</si>
  <si>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</si>
  <si>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</si>
  <si>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</si>
  <si>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</si>
  <si>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MuleSoft — Platform &amp; Infrastructure</t>
  </si>
  <si>
    <t xml:space="preserve">MuleSoft — People &amp; Developers</t>
  </si>
  <si>
    <t xml:space="preserve">TOTAL MULESOFT COST</t>
  </si>
  <si>
    <t xml:space="preserve">AWS — Platform &amp; Infrastructure</t>
  </si>
  <si>
    <t xml:space="preserve">AWS — People &amp; Developers</t>
  </si>
  <si>
    <t xml:space="preserve">TOTAL AWS COST</t>
  </si>
  <si>
    <t xml:space="preserve">Annual Savings</t>
  </si>
  <si>
    <t xml:space="preserve">Cumulative Savings</t>
  </si>
  <si>
    <t xml:space="preserve">ONE-TIME MIGRATION INVESTMENT</t>
  </si>
  <si>
    <t xml:space="preserve">Cost Item</t>
  </si>
  <si>
    <t xml:space="preserve">Amount (USD)</t>
  </si>
  <si>
    <t xml:space="preserve">Discovery &amp; Assessment</t>
  </si>
  <si>
    <t xml:space="preserve">Complex Integrations</t>
  </si>
  <si>
    <t xml:space="preserve">Medium Integrations</t>
  </si>
  <si>
    <t xml:space="preserve">Simple Integrations</t>
  </si>
  <si>
    <t xml:space="preserve">External Consulting</t>
  </si>
  <si>
    <t xml:space="preserve">Testing &amp; QA</t>
  </si>
  <si>
    <t xml:space="preserve">Parallel Run (dual systems)</t>
  </si>
  <si>
    <t xml:space="preserve">Internal Team (dedicated)</t>
  </si>
  <si>
    <t xml:space="preserve">Risk &amp; Contingency</t>
  </si>
  <si>
    <t xml:space="preserve">TOTAL MIGRATION INVESTMENT</t>
  </si>
  <si>
    <t xml:space="preserve">RETURN ON INVESTMENT ANALYSIS</t>
  </si>
  <si>
    <t xml:space="preserve">Metric</t>
  </si>
  <si>
    <t xml:space="preserve">Value</t>
  </si>
  <si>
    <t xml:space="preserve">Interpretation</t>
  </si>
  <si>
    <t xml:space="preserve">Upfront capital required to execute the migration.</t>
  </si>
  <si>
    <t xml:space="preserve">Year 1 Annual Savings</t>
  </si>
  <si>
    <t xml:space="preserve">Immediate reduction in recurring platform and people costs.</t>
  </si>
  <si>
    <t xml:space="preserve">Year 1 Savings Rate</t>
  </si>
  <si>
    <t xml:space="preserve">Share of MuleSoft cost eliminated. &gt;30% is strong.</t>
  </si>
  <si>
    <t xml:space="preserve">&lt;18 months = excellent. 18–30 = good. &gt;30 = review scope.</t>
  </si>
  <si>
    <t xml:space="preserve">Positive NPV = financially justified project.</t>
  </si>
  <si>
    <t xml:space="preserve">5-Year Total Savings (undiscounted)</t>
  </si>
  <si>
    <t xml:space="preserve">Total cash saved without time-value adjustment.</t>
  </si>
  <si>
    <t xml:space="preserve">ROI over 5 Years</t>
  </si>
  <si>
    <t xml:space="preserve">&gt;200% = exceptional. 100–200% = strong. &lt;100% = marginal.</t>
  </si>
  <si>
    <t xml:space="preserve">Internal Rate of Return (IRR)</t>
  </si>
  <si>
    <t xml:space="preserve">Compare to your WACC. IRR &gt; WACC = invest.</t>
  </si>
  <si>
    <t xml:space="preserve">IRR Cash Flow</t>
  </si>
  <si>
    <t xml:space="preserve">EXECUTIVE SUMMARY</t>
  </si>
  <si>
    <t xml:space="preserve">This analysis compares the Total Cost of Ownership (TCO) of maintaining MuleSoft versus migrating to AWS native services over a 5-year horizon. The migration requires a one-time investment to replatform integrations, train staff, and validate the new architecture. Post-migration, AWS delivers significant operational savings through elimination of proprietary licensing, vCore fees, and the MuleSoft developer salary premium. Annual contract escalation (typically 5–8%) on MuleSoft compounds savings over time, making the business case stronger in Years 3–5.</t>
  </si>
  <si>
    <t xml:space="preserve">Recommendation: If the Simple Payback Period is under 24 months and the 5-Year NPV is positive, the migration is financially justified. Consider a phased approach (high-volume/simple integrations first) to reduce risk and accelerate payback.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</si>
</sst>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&quot; months&quot;"/>
    <numFmt numFmtId="167" formatCode="0%"/>
    <numFmt numFmtId="168" formatCode="#,##0"/>
    <numFmt numFmtId="169" formatCode="0.0%"/>
  </numFmts>
  <fonts count="3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A2730"/>
      <name val="Public Sans"/>
      <family val="0"/>
      <charset val="1"/>
    </font>
    <font>
      <b val="true"/>
      <sz val="24"/>
      <color rgb="FF0A1F2C"/>
      <name val="Public Sans"/>
      <family val="0"/>
      <charset val="1"/>
    </font>
    <font>
      <sz val="13"/>
      <color rgb="FF4A5560"/>
      <name val="Public Sans"/>
      <family val="0"/>
      <charset val="1"/>
    </font>
    <font>
      <b val="true"/>
      <sz val="8"/>
      <color rgb="FF0E5C5C"/>
      <name val="Public Sans"/>
      <family val="0"/>
      <charset val="1"/>
    </font>
    <font>
      <sz val="9"/>
      <color rgb="FF7A8590"/>
      <name val="Public Sans"/>
      <family val="0"/>
      <charset val="1"/>
    </font>
    <font>
      <b val="true"/>
      <sz val="16"/>
      <color rgb="FFC45A35"/>
      <name val="Public Sans"/>
      <family val="0"/>
      <charset val="1"/>
    </font>
    <font>
      <b val="true"/>
      <sz val="16"/>
      <color rgb="FF0E5C5C"/>
      <name val="Public Sans"/>
      <family val="0"/>
      <charset val="1"/>
    </font>
    <font>
      <b val="true"/>
      <sz val="16"/>
      <color rgb="FF0A1F2C"/>
      <name val="Public Sans"/>
      <family val="0"/>
      <charset val="1"/>
    </font>
    <font>
      <b val="true"/>
      <sz val="9"/>
      <color rgb="FFFFFFFF"/>
      <name val="Public Sans"/>
      <family val="0"/>
      <charset val="1"/>
    </font>
    <font>
      <b val="true"/>
      <sz val="10"/>
      <color rgb="FFC45A35"/>
      <name val="Public Sans"/>
      <family val="0"/>
      <charset val="1"/>
    </font>
    <font>
      <sz val="10"/>
      <color rgb="FF1A2730"/>
      <name val="Public Sans"/>
      <family val="0"/>
      <charset val="1"/>
    </font>
    <font>
      <b val="true"/>
      <sz val="10"/>
      <color rgb="FF0E5C5C"/>
      <name val="Public Sans"/>
      <family val="0"/>
      <charset val="1"/>
    </font>
    <font>
      <i val="true"/>
      <sz val="9"/>
      <color rgb="FF7A8590"/>
      <name val="Public Sans"/>
      <family val="0"/>
      <charset val="1"/>
    </font>
    <font>
      <sz val="8"/>
      <color rgb="FF7A8590"/>
      <name val="Public Sans"/>
      <family val="0"/>
      <charset val="1"/>
    </font>
    <font>
      <b val="true"/>
      <sz val="20"/>
      <color rgb="FF0A1F2C"/>
      <name val="Public Sans"/>
      <family val="0"/>
      <charset val="1"/>
    </font>
    <font>
      <sz val="10"/>
      <color rgb="FF4A5560"/>
      <name val="Public Sans"/>
      <family val="0"/>
      <charset val="1"/>
    </font>
    <font>
      <b val="true"/>
      <sz val="10"/>
      <color rgb="FFFFFFFF"/>
      <name val="Public Sans"/>
      <family val="0"/>
      <charset val="1"/>
    </font>
    <font>
      <b val="true"/>
      <sz val="11"/>
      <color rgb="FF1A56B5"/>
      <name val="Public Sans"/>
      <family val="0"/>
      <charset val="1"/>
    </font>
    <font>
      <i val="true"/>
      <sz val="9"/>
      <color rgb="FF0E5C5C"/>
      <name val="Public Sans"/>
      <family val="0"/>
      <charset val="1"/>
    </font>
    <font>
      <b val="true"/>
      <sz val="11"/>
      <color rgb="FFFFFFFF"/>
      <name val="Public Sans"/>
      <family val="0"/>
      <charset val="1"/>
    </font>
    <font>
      <b val="true"/>
      <sz val="11"/>
      <color rgb="FF0A1F2C"/>
      <name val="Public Sans"/>
      <family val="0"/>
      <charset val="1"/>
    </font>
    <font>
      <b val="true"/>
      <sz val="11"/>
      <color rgb="FF1A2730"/>
      <name val="Public Sans"/>
      <family val="0"/>
      <charset val="1"/>
    </font>
    <font>
      <i val="true"/>
      <sz val="10"/>
      <color rgb="FF0E5C5C"/>
      <name val="Public San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8FAFA"/>
        <bgColor rgb="FFFFFFFF"/>
      </patternFill>
    </fill>
    <fill>
      <patternFill patternType="solid">
        <fgColor rgb="FFE9F1F1"/>
        <bgColor rgb="FFE6F0F0"/>
      </patternFill>
    </fill>
    <fill>
      <patternFill patternType="solid">
        <fgColor rgb="FFFFFFFF"/>
        <bgColor rgb="FFF8FAFA"/>
      </patternFill>
    </fill>
    <fill>
      <patternFill patternType="solid">
        <fgColor rgb="FF0A1F2C"/>
        <bgColor rgb="FF1A2730"/>
      </patternFill>
    </fill>
    <fill>
      <patternFill patternType="solid">
        <fgColor rgb="FFF6E8E2"/>
        <bgColor rgb="FFF0F3F4"/>
      </patternFill>
    </fill>
    <fill>
      <patternFill patternType="solid">
        <fgColor rgb="FFF0F3F4"/>
        <bgColor rgb="FFEDF3F3"/>
      </patternFill>
    </fill>
    <fill>
      <patternFill patternType="solid">
        <fgColor rgb="FF0E5C5C"/>
        <bgColor rgb="FF1A56B5"/>
      </patternFill>
    </fill>
    <fill>
      <patternFill patternType="solid">
        <fgColor rgb="FFE6F0F0"/>
        <bgColor rgb="FFE9F1F1"/>
      </patternFill>
    </fill>
    <fill>
      <patternFill patternType="solid">
        <fgColor rgb="FFC45A35"/>
        <bgColor rgb="FFA04826"/>
      </patternFill>
    </fill>
    <fill>
      <patternFill patternType="solid">
        <fgColor rgb="FFEDF3F3"/>
        <bgColor rgb="FFF0F3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CDAD5"/>
      </left>
      <right style="thin">
        <color rgb="FFDCDAD5"/>
      </right>
      <top style="thin">
        <color rgb="FFDCDAD5"/>
      </top>
      <bottom style="thin">
        <color rgb="FFDCDAD5"/>
      </bottom>
      <diagonal/>
    </border>
    <border diagonalUp="false" diagonalDown="false">
      <left style="thin">
        <color rgb="FFD9DEE2"/>
      </left>
      <right style="thin">
        <color rgb="FFD9DEE2"/>
      </right>
      <top style="thin">
        <color rgb="FFD9DEE2"/>
      </top>
      <bottom style="thin">
        <color rgb="FFD9DE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4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5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8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8" fontId="21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21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1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4" fillId="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23" fillId="1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4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3" fillId="8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23" fillId="8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25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4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25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4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25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5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25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6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5C5C"/>
      <rgbColor rgb="FFC5CCD2"/>
      <rgbColor rgb="FF878787"/>
      <rgbColor rgb="FF9999FF"/>
      <rgbColor rgb="FF993366"/>
      <rgbColor rgb="FFF8FAFA"/>
      <rgbColor rgb="FFE6F0F0"/>
      <rgbColor rgb="FF660066"/>
      <rgbColor rgb="FFFF8080"/>
      <rgbColor rgb="FF1A56B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1F1"/>
      <rgbColor rgb="FFEDF3F3"/>
      <rgbColor rgb="FFF6E8E2"/>
      <rgbColor rgb="FFD9DEE2"/>
      <rgbColor rgb="FFF0F3F4"/>
      <rgbColor rgb="FFCC99FF"/>
      <rgbColor rgb="FFDCDAD5"/>
      <rgbColor rgb="FF3366FF"/>
      <rgbColor rgb="FF33CCCC"/>
      <rgbColor rgb="FF99CC00"/>
      <rgbColor rgb="FFFFCC00"/>
      <rgbColor rgb="FFFF9900"/>
      <rgbColor rgb="FFC45A35"/>
      <rgbColor rgb="FF4F81BD"/>
      <rgbColor rgb="FF7A8590"/>
      <rgbColor rgb="FF003366"/>
      <rgbColor rgb="FF2A8C8C"/>
      <rgbColor rgb="FF0A1F2C"/>
      <rgbColor rgb="FF333300"/>
      <rgbColor rgb="FFA04826"/>
      <rgbColor rgb="FF993366"/>
      <rgbColor rgb="FF4A5560"/>
      <rgbColor rgb="FF1A27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5-Year Cost Comparison: MuleSoft vs AWS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"MuleSoft"</c:f>
              <c:strCache>
                <c:ptCount val="1"/>
                <c:pt idx="0">
                  <c:v>MuleSoft</c:v>
                </c:pt>
              </c:strCache>
            </c:strRef>
          </c:tx>
          <c:spPr>
            <a:solidFill>
              <a:srgbClr val="C45A35"/>
            </a:solidFill>
            <a:ln w="9360">
              <a:solidFill>
                <a:srgbClr val="C45A35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C45A35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Dashboard'!$C$11:$H$11</c:f>
              <c:multiLvlStrCache>
                <c:ptCount val="1"/>
                <c:lvl/>
                <c:lvl/>
                <c:lvl/>
                <c:lvl>
                  <c:pt idx="0">
                    <c:v>Total</c:v>
                  </c:pt>
                </c:lvl>
                <c:lvl>
                  <c:pt idx="0">
                    <c:v>Developers</c:v>
                  </c:pt>
                </c:lvl>
                <c:lvl>
                  <c:pt idx="0">
                    <c:v>Platform &amp; Infrastructure</c:v>
                  </c:pt>
                </c:lvl>
              </c:multiLvlStrCache>
            </c:multiLvlStrRef>
          </c:cat>
          <c:val>
            <c:numRef>
              <c:f>'2. Dashboard'!$C$20:$H$20</c:f>
              <c:numCache>
                <c:formatCode>\$#,##0</c:formatCode>
                <c:ptCount val="6"/>
                <c:pt idx="0">
                  <c:v>0</c:v>
                </c:pt>
                <c:pt idx="1">
                  <c:v>1313340</c:v>
                </c:pt>
                <c:pt idx="2">
                  <c:v>1392140.4</c:v>
                </c:pt>
                <c:pt idx="3">
                  <c:v>1475668.824</c:v>
                </c:pt>
                <c:pt idx="4">
                  <c:v>1564208.95344</c:v>
                </c:pt>
                <c:pt idx="5">
                  <c:v>1658061.4906464</c:v>
                </c:pt>
              </c:numCache>
            </c:numRef>
          </c:val>
        </c:ser>
        <c:ser>
          <c:idx val="1"/>
          <c:order val="1"/>
          <c:tx>
            <c:strRef>
              <c:f>"AWS"</c:f>
              <c:strCache>
                <c:ptCount val="1"/>
                <c:pt idx="0">
                  <c:v>AWS</c:v>
                </c:pt>
              </c:strCache>
            </c:strRef>
          </c:tx>
          <c:spPr>
            <a:solidFill>
              <a:srgbClr val="0E5C5C"/>
            </a:solidFill>
            <a:ln w="9360">
              <a:solidFill>
                <a:srgbClr val="0E5C5C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E5C5C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Dashboard'!$C$11:$H$11</c:f>
              <c:multiLvlStrCache>
                <c:ptCount val="1"/>
                <c:lvl/>
                <c:lvl/>
                <c:lvl/>
                <c:lvl>
                  <c:pt idx="0">
                    <c:v>Total</c:v>
                  </c:pt>
                </c:lvl>
                <c:lvl>
                  <c:pt idx="0">
                    <c:v>Developers</c:v>
                  </c:pt>
                </c:lvl>
                <c:lvl>
                  <c:pt idx="0">
                    <c:v>Platform &amp; Infrastructure</c:v>
                  </c:pt>
                </c:lvl>
              </c:multiLvlStrCache>
            </c:multiLvlStrRef>
          </c:cat>
          <c:val>
            <c:numRef>
              <c:f>'2. Dashboard'!$C$24:$H$24</c:f>
              <c:numCache>
                <c:formatCode>\$#,##0</c:formatCode>
                <c:ptCount val="6"/>
                <c:pt idx="0">
                  <c:v>0</c:v>
                </c:pt>
                <c:pt idx="1">
                  <c:v>707295.798370002</c:v>
                </c:pt>
                <c:pt idx="2">
                  <c:v>813390.168125502</c:v>
                </c:pt>
                <c:pt idx="3">
                  <c:v>935398.693344327</c:v>
                </c:pt>
                <c:pt idx="4">
                  <c:v>1075708.49734598</c:v>
                </c:pt>
                <c:pt idx="5">
                  <c:v>1237064.77194787</c:v>
                </c:pt>
              </c:numCache>
            </c:numRef>
          </c:val>
        </c:ser>
        <c:gapWidth val="150"/>
        <c:overlap val="0"/>
        <c:axId val="56016675"/>
        <c:axId val="35170904"/>
      </c:barChart>
      <c:catAx>
        <c:axId val="560166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170904"/>
        <c:crosses val="autoZero"/>
        <c:auto val="1"/>
        <c:lblAlgn val="ctr"/>
        <c:lblOffset val="100"/>
        <c:noMultiLvlLbl val="0"/>
      </c:catAx>
      <c:valAx>
        <c:axId val="351709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Annual Cost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0166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Cumulative Savings Over 5 Years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"Cumulative Savings"</c:f>
              <c:strCache>
                <c:ptCount val="1"/>
                <c:pt idx="0">
                  <c:v>Cumulative Savings</c:v>
                </c:pt>
              </c:strCache>
            </c:strRef>
          </c:tx>
          <c:spPr>
            <a:solidFill>
              <a:srgbClr val="0E5C5C"/>
            </a:solidFill>
            <a:ln w="28080">
              <a:solidFill>
                <a:srgbClr val="0E5C5C"/>
              </a:solidFill>
              <a:round/>
            </a:ln>
          </c:spPr>
          <c:marker>
            <c:symbol val="circle"/>
            <c:size val="7"/>
            <c:spPr>
              <a:solidFill>
                <a:srgbClr val="0E5C5C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Dashboard'!$C$11:$H$11</c:f>
              <c:multiLvlStrCache>
                <c:ptCount val="1"/>
                <c:lvl/>
                <c:lvl/>
                <c:lvl/>
                <c:lvl>
                  <c:pt idx="0">
                    <c:v>Total</c:v>
                  </c:pt>
                </c:lvl>
                <c:lvl>
                  <c:pt idx="0">
                    <c:v>Developers</c:v>
                  </c:pt>
                </c:lvl>
                <c:lvl>
                  <c:pt idx="0">
                    <c:v>Platform &amp; Infrastructure</c:v>
                  </c:pt>
                </c:lvl>
              </c:multiLvlStrCache>
            </c:multiLvlStrRef>
          </c:cat>
          <c:val>
            <c:numRef>
              <c:f>'2. Dashboard'!$C$27:$H$27</c:f>
              <c:numCache>
                <c:formatCode>\$#,##0</c:formatCode>
                <c:ptCount val="6"/>
                <c:pt idx="0">
                  <c:v>-1864150.739511</c:v>
                </c:pt>
                <c:pt idx="1">
                  <c:v>-1258106.537881</c:v>
                </c:pt>
                <c:pt idx="2">
                  <c:v>-679356.306006504</c:v>
                </c:pt>
                <c:pt idx="3">
                  <c:v>-139086.175350831</c:v>
                </c:pt>
                <c:pt idx="4">
                  <c:v>349414.280743193</c:v>
                </c:pt>
                <c:pt idx="5">
                  <c:v>770410.99944172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2383411"/>
        <c:axId val="64965135"/>
      </c:lineChart>
      <c:catAx>
        <c:axId val="723834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965135"/>
        <c:crosses val="autoZero"/>
        <c:auto val="1"/>
        <c:lblAlgn val="ctr"/>
        <c:lblOffset val="100"/>
        <c:noMultiLvlLbl val="0"/>
      </c:catAx>
      <c:valAx>
        <c:axId val="649651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Cumulative Savings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3834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Migration Investment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'2. Dashboard'!$C$30</c:f>
              <c:strCache>
                <c:ptCount val="1"/>
                <c:pt idx="0">
                  <c:v>Amount (USD)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A1F2C"/>
              </a:solidFill>
              <a:ln w="118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0E5C5C"/>
              </a:solidFill>
              <a:ln w="118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C45A35"/>
              </a:solidFill>
              <a:ln w="118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1A56B5"/>
              </a:solidFill>
              <a:ln w="118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2A8C8C"/>
              </a:solidFill>
              <a:ln w="118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7A8590"/>
              </a:solidFill>
              <a:ln w="1188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4A5560"/>
              </a:solidFill>
              <a:ln w="1188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A04826"/>
              </a:solidFill>
              <a:ln w="11880">
                <a:solidFill>
                  <a:srgbClr val="FFFFFF"/>
                </a:solidFill>
                <a:round/>
              </a:ln>
            </c:spPr>
          </c:dPt>
          <c:dPt>
            <c:idx val="8"/>
            <c:spPr>
              <a:solidFill>
                <a:srgbClr val="C5CCD2"/>
              </a:solidFill>
              <a:ln w="11880">
                <a:solidFill>
                  <a:srgbClr val="FFFFFF"/>
                </a:solidFill>
                <a:round/>
              </a:ln>
            </c:spPr>
          </c:dPt>
          <c:dPt>
            <c:idx val="9"/>
            <c:spPr>
              <a:solidFill>
                <a:srgbClr val="1A2730"/>
              </a:solidFill>
              <a:ln w="11880">
                <a:solidFill>
                  <a:srgbClr val="FFFFFF"/>
                </a:solidFill>
                <a:round/>
              </a:ln>
            </c:spPr>
          </c:dPt>
          <c:dPt>
            <c:idx val="10"/>
            <c:spPr>
              <a:solidFill>
                <a:srgbClr val="0E5C5C"/>
              </a:solidFill>
              <a:ln w="11880">
                <a:solidFill>
                  <a:srgbClr val="FFFFFF"/>
                </a:solidFill>
                <a:round/>
              </a:ln>
            </c:spPr>
          </c:dPt>
          <c:dPt>
            <c:idx val="11"/>
            <c:spPr>
              <a:solidFill>
                <a:srgbClr val="C45A35"/>
              </a:solidFill>
              <a:ln w="118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'2. Dashboard'!$B$31:$B$42</c:f>
              <c:strCache>
                <c:ptCount val="12"/>
                <c:pt idx="0">
                  <c:v>Discovery &amp; Assessment</c:v>
                </c:pt>
                <c:pt idx="1">
                  <c:v>Complex Integrations</c:v>
                </c:pt>
                <c:pt idx="2">
                  <c:v>Medium Integrations</c:v>
                </c:pt>
                <c:pt idx="3">
                  <c:v>Simple Integrations</c:v>
                </c:pt>
                <c:pt idx="4">
                  <c:v>DataWeave Transformations</c:v>
                </c:pt>
                <c:pt idx="5">
                  <c:v>External Consulting</c:v>
                </c:pt>
                <c:pt idx="6">
                  <c:v>Testing &amp; QA</c:v>
                </c:pt>
                <c:pt idx="7">
                  <c:v>Parallel Run (dual systems)</c:v>
                </c:pt>
                <c:pt idx="8">
                  <c:v>Internal Team (dedicated)</c:v>
                </c:pt>
                <c:pt idx="9">
                  <c:v>AWS Training</c:v>
                </c:pt>
                <c:pt idx="10">
                  <c:v>Temporary Tools &amp; Licenses</c:v>
                </c:pt>
                <c:pt idx="11">
                  <c:v>Risk &amp; Contingency</c:v>
                </c:pt>
              </c:strCache>
            </c:strRef>
          </c:cat>
          <c:val>
            <c:numRef>
              <c:f>'2. Dashboard'!$C$31:$C$42</c:f>
              <c:numCache>
                <c:formatCode>\$#,##0</c:formatCode>
                <c:ptCount val="12"/>
                <c:pt idx="0">
                  <c:v>50000</c:v>
                </c:pt>
                <c:pt idx="1">
                  <c:v>25000</c:v>
                </c:pt>
                <c:pt idx="2">
                  <c:v>75000</c:v>
                </c:pt>
                <c:pt idx="3">
                  <c:v>16000</c:v>
                </c:pt>
                <c:pt idx="4">
                  <c:v>60000</c:v>
                </c:pt>
                <c:pt idx="5">
                  <c:v>105000</c:v>
                </c:pt>
                <c:pt idx="6">
                  <c:v>84300</c:v>
                </c:pt>
                <c:pt idx="7">
                  <c:v>505158.9495925</c:v>
                </c:pt>
                <c:pt idx="8">
                  <c:v>600000</c:v>
                </c:pt>
                <c:pt idx="9">
                  <c:v>8000</c:v>
                </c:pt>
                <c:pt idx="10">
                  <c:v>25000</c:v>
                </c:pt>
                <c:pt idx="11">
                  <c:v>310691.7899185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37080</xdr:colOff>
      <xdr:row>57</xdr:row>
      <xdr:rowOff>25920</xdr:rowOff>
    </xdr:from>
    <xdr:to>
      <xdr:col>6</xdr:col>
      <xdr:colOff>257400</xdr:colOff>
      <xdr:row>79</xdr:row>
      <xdr:rowOff>153720</xdr:rowOff>
    </xdr:to>
    <xdr:graphicFrame>
      <xdr:nvGraphicFramePr>
        <xdr:cNvPr id="1" name="Chart 1"/>
        <xdr:cNvGraphicFramePr/>
      </xdr:nvGraphicFramePr>
      <xdr:xfrm>
        <a:off x="178200" y="14170680"/>
        <a:ext cx="7198200" cy="43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37080</xdr:colOff>
      <xdr:row>80</xdr:row>
      <xdr:rowOff>139320</xdr:rowOff>
    </xdr:from>
    <xdr:to>
      <xdr:col>6</xdr:col>
      <xdr:colOff>257400</xdr:colOff>
      <xdr:row>103</xdr:row>
      <xdr:rowOff>76320</xdr:rowOff>
    </xdr:to>
    <xdr:graphicFrame>
      <xdr:nvGraphicFramePr>
        <xdr:cNvPr id="2" name="Chart 2"/>
        <xdr:cNvGraphicFramePr/>
      </xdr:nvGraphicFramePr>
      <xdr:xfrm>
        <a:off x="178200" y="18665280"/>
        <a:ext cx="7198200" cy="422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36720</xdr:colOff>
      <xdr:row>104</xdr:row>
      <xdr:rowOff>61560</xdr:rowOff>
    </xdr:from>
    <xdr:to>
      <xdr:col>6</xdr:col>
      <xdr:colOff>257040</xdr:colOff>
      <xdr:row>127</xdr:row>
      <xdr:rowOff>93600</xdr:rowOff>
    </xdr:to>
    <xdr:graphicFrame>
      <xdr:nvGraphicFramePr>
        <xdr:cNvPr id="3" name="Chart 3"/>
        <xdr:cNvGraphicFramePr/>
      </xdr:nvGraphicFramePr>
      <xdr:xfrm>
        <a:off x="177840" y="23064480"/>
        <a:ext cx="7198200" cy="441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F2C"/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7" min="3" style="1" width="22"/>
    <col collapsed="false" customWidth="true" hidden="false" outlineLevel="0" max="8" min="8" style="1" width="3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49.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2"/>
    </row>
    <row r="3" customFormat="false" ht="24" hidden="false" customHeight="true" outlineLevel="0" collapsed="false">
      <c r="A3" s="2"/>
      <c r="B3" s="4" t="s">
        <v>1</v>
      </c>
      <c r="C3" s="4"/>
      <c r="D3" s="4"/>
      <c r="E3" s="4"/>
      <c r="F3" s="4"/>
      <c r="G3" s="4"/>
      <c r="H3" s="2"/>
    </row>
    <row r="4" customFormat="false" ht="19.5" hidden="false" customHeight="true" outlineLevel="0" collapsed="false">
      <c r="A4" s="2"/>
      <c r="B4" s="5" t="s">
        <v>2</v>
      </c>
      <c r="C4" s="5"/>
      <c r="D4" s="2"/>
      <c r="E4" s="2"/>
      <c r="F4" s="2"/>
      <c r="G4" s="2"/>
      <c r="H4" s="2"/>
    </row>
    <row r="5" customFormat="false" ht="12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8" hidden="false" customHeight="true" outlineLevel="0" collapsed="false">
      <c r="A6" s="2"/>
      <c r="B6" s="6" t="s">
        <v>3</v>
      </c>
      <c r="C6" s="6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7" t="s">
        <v>4</v>
      </c>
      <c r="C7" s="7"/>
      <c r="D7" s="7" t="s">
        <v>5</v>
      </c>
      <c r="E7" s="7"/>
      <c r="F7" s="7" t="s">
        <v>6</v>
      </c>
      <c r="G7" s="7"/>
      <c r="H7" s="2"/>
    </row>
    <row r="8" customFormat="false" ht="15" hidden="false" customHeight="true" outlineLevel="0" collapsed="false">
      <c r="A8" s="2"/>
      <c r="B8" s="8" t="n">
        <f aca="false">'2. Dashboard'!B6</f>
        <v>1313340</v>
      </c>
      <c r="C8" s="8"/>
      <c r="D8" s="9" t="n">
        <f aca="false">'2. Dashboard'!D6</f>
        <v>707295.798370002</v>
      </c>
      <c r="E8" s="9"/>
      <c r="F8" s="9" t="n">
        <f aca="false">'2. Dashboard'!F6</f>
        <v>606044.201629998</v>
      </c>
      <c r="G8" s="9"/>
      <c r="H8" s="2"/>
    </row>
    <row r="9" customFormat="false" ht="7.5" hidden="false" customHeight="tru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15" hidden="false" customHeight="true" outlineLevel="0" collapsed="false">
      <c r="A10" s="2"/>
      <c r="B10" s="7" t="s">
        <v>7</v>
      </c>
      <c r="C10" s="7"/>
      <c r="D10" s="7" t="s">
        <v>8</v>
      </c>
      <c r="E10" s="7"/>
      <c r="F10" s="7" t="s">
        <v>9</v>
      </c>
      <c r="G10" s="7"/>
      <c r="H10" s="2"/>
    </row>
    <row r="11" customFormat="false" ht="15" hidden="false" customHeight="true" outlineLevel="0" collapsed="false">
      <c r="A11" s="2"/>
      <c r="B11" s="8" t="n">
        <f aca="false">'2. Dashboard'!H6</f>
        <v>1864150.739511</v>
      </c>
      <c r="C11" s="8"/>
      <c r="D11" s="10" t="n">
        <f aca="false">'2. Dashboard'!B8</f>
        <v>36.9111837287888</v>
      </c>
      <c r="E11" s="10"/>
      <c r="F11" s="11" t="n">
        <f aca="false">'2. Dashboard'!F8</f>
        <v>0.413277200771764</v>
      </c>
      <c r="G11" s="11"/>
      <c r="H11" s="2"/>
    </row>
    <row r="12" customFormat="false" ht="7.5" hidden="false" customHeight="tru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21.75" hidden="false" customHeight="true" outlineLevel="0" collapsed="false">
      <c r="B13" s="5" t="s">
        <v>10</v>
      </c>
      <c r="C13" s="5"/>
      <c r="D13" s="5"/>
      <c r="E13" s="5"/>
      <c r="F13" s="5"/>
      <c r="G13" s="5"/>
    </row>
    <row r="14" customFormat="false" ht="24" hidden="false" customHeight="true" outlineLevel="0" collapsed="false">
      <c r="B14" s="12"/>
      <c r="C14" s="13" t="s">
        <v>11</v>
      </c>
      <c r="D14" s="13" t="s">
        <v>12</v>
      </c>
      <c r="E14" s="13" t="s">
        <v>13</v>
      </c>
    </row>
    <row r="15" customFormat="false" ht="21.75" hidden="false" customHeight="true" outlineLevel="0" collapsed="false">
      <c r="B15" s="14" t="s">
        <v>14</v>
      </c>
      <c r="C15" s="15" t="n">
        <f aca="false">'2. Dashboard'!D18</f>
        <v>661440</v>
      </c>
      <c r="D15" s="15" t="n">
        <f aca="false">'2. Dashboard'!D19</f>
        <v>651900</v>
      </c>
      <c r="E15" s="16" t="n">
        <f aca="false">'2. Dashboard'!D20</f>
        <v>1313340</v>
      </c>
    </row>
    <row r="16" customFormat="false" ht="21.75" hidden="false" customHeight="true" outlineLevel="0" collapsed="false">
      <c r="B16" s="17" t="s">
        <v>15</v>
      </c>
      <c r="C16" s="18" t="n">
        <f aca="false">'2. Dashboard'!D22</f>
        <v>11545.7983700017</v>
      </c>
      <c r="D16" s="18" t="n">
        <f aca="false">'2. Dashboard'!D23</f>
        <v>695750</v>
      </c>
      <c r="E16" s="19" t="n">
        <f aca="false">'2. Dashboard'!D24</f>
        <v>707295.798370002</v>
      </c>
    </row>
    <row r="17" customFormat="false" ht="18" hidden="false" customHeight="true" outlineLevel="0" collapsed="false"/>
    <row r="18" customFormat="false" ht="15" hidden="false" customHeight="true" outlineLevel="0" collapsed="false"/>
    <row r="19" customFormat="false" ht="12" hidden="false" customHeight="true" outlineLevel="0" collapsed="false"/>
    <row r="20" customFormat="false" ht="21.75" hidden="false" customHeight="true" outlineLevel="0" collapsed="false">
      <c r="A20" s="2"/>
      <c r="B20" s="5" t="s">
        <v>16</v>
      </c>
      <c r="C20" s="5"/>
      <c r="D20" s="5"/>
      <c r="E20" s="5"/>
      <c r="F20" s="5"/>
      <c r="G20" s="5"/>
      <c r="H20" s="2"/>
    </row>
    <row r="21" customFormat="false" ht="19.5" hidden="false" customHeight="true" outlineLevel="0" collapsed="false">
      <c r="A21" s="2"/>
      <c r="B21" s="20" t="s">
        <v>17</v>
      </c>
      <c r="C21" s="20"/>
      <c r="D21" s="20"/>
      <c r="E21" s="20"/>
      <c r="F21" s="20"/>
      <c r="G21" s="20"/>
      <c r="H21" s="2"/>
    </row>
    <row r="22" customFormat="false" ht="36" hidden="false" customHeight="true" outlineLevel="0" collapsed="false">
      <c r="A22" s="2"/>
      <c r="B22" s="20" t="s">
        <v>18</v>
      </c>
      <c r="C22" s="20"/>
      <c r="D22" s="20"/>
      <c r="E22" s="20"/>
      <c r="F22" s="20"/>
      <c r="G22" s="20"/>
      <c r="H22" s="2"/>
    </row>
    <row r="23" customFormat="false" ht="36" hidden="false" customHeight="true" outlineLevel="0" collapsed="false">
      <c r="A23" s="2"/>
      <c r="B23" s="20" t="s">
        <v>19</v>
      </c>
      <c r="C23" s="20"/>
      <c r="D23" s="20"/>
      <c r="E23" s="20"/>
      <c r="F23" s="20"/>
      <c r="G23" s="20"/>
      <c r="H23" s="2"/>
    </row>
    <row r="24" customFormat="false" ht="15" hidden="false" customHeight="true" outlineLevel="0" collapsed="false">
      <c r="A24" s="2"/>
      <c r="B24" s="20" t="s">
        <v>20</v>
      </c>
      <c r="C24" s="20"/>
      <c r="D24" s="20"/>
      <c r="E24" s="20"/>
      <c r="F24" s="20"/>
      <c r="G24" s="20"/>
      <c r="H24" s="2"/>
    </row>
    <row r="25" customFormat="false" ht="12" hidden="false" customHeight="tru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5" hidden="false" customHeight="true" outlineLevel="0" collapsed="false">
      <c r="A27" s="2"/>
      <c r="B27" s="5" t="s">
        <v>21</v>
      </c>
      <c r="C27" s="5"/>
      <c r="D27" s="5"/>
      <c r="E27" s="5"/>
      <c r="F27" s="5"/>
      <c r="G27" s="5"/>
      <c r="H27" s="2"/>
    </row>
    <row r="28" customFormat="false" ht="15" hidden="false" customHeight="false" outlineLevel="0" collapsed="false">
      <c r="A28" s="2"/>
      <c r="B28" s="21" t="s">
        <v>22</v>
      </c>
      <c r="C28" s="22" t="s">
        <v>23</v>
      </c>
      <c r="D28" s="22"/>
      <c r="E28" s="22"/>
      <c r="F28" s="22"/>
      <c r="G28" s="22"/>
      <c r="H28" s="2"/>
    </row>
    <row r="29" customFormat="false" ht="22.35" hidden="false" customHeight="true" outlineLevel="0" collapsed="false">
      <c r="A29" s="2"/>
      <c r="B29" s="23" t="s">
        <v>24</v>
      </c>
      <c r="C29" s="24" t="s">
        <v>25</v>
      </c>
      <c r="D29" s="24"/>
      <c r="E29" s="24"/>
      <c r="F29" s="24"/>
      <c r="G29" s="24"/>
      <c r="H29" s="2"/>
    </row>
    <row r="30" customFormat="false" ht="22.35" hidden="false" customHeight="true" outlineLevel="0" collapsed="false">
      <c r="A30" s="2"/>
      <c r="B30" s="25" t="s">
        <v>26</v>
      </c>
      <c r="C30" s="26" t="s">
        <v>27</v>
      </c>
      <c r="D30" s="26"/>
      <c r="E30" s="26"/>
      <c r="F30" s="26"/>
      <c r="G30" s="26"/>
      <c r="H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2"/>
      <c r="B33" s="27" t="s">
        <v>28</v>
      </c>
      <c r="C33" s="27"/>
      <c r="D33" s="27"/>
      <c r="E33" s="27"/>
      <c r="F33" s="27"/>
      <c r="G33" s="27"/>
      <c r="H33" s="2"/>
    </row>
    <row r="34" customFormat="false" ht="15" hidden="false" customHeight="false" outlineLevel="0" collapsed="false">
      <c r="A34" s="2"/>
      <c r="B34" s="28" t="s">
        <v>29</v>
      </c>
      <c r="C34" s="28"/>
      <c r="D34" s="28"/>
      <c r="E34" s="28"/>
      <c r="F34" s="28"/>
      <c r="G34" s="28"/>
      <c r="H34" s="2"/>
    </row>
  </sheetData>
  <mergeCells count="28">
    <mergeCell ref="B2:G2"/>
    <mergeCell ref="B3:G3"/>
    <mergeCell ref="B4:C4"/>
    <mergeCell ref="B6:C6"/>
    <mergeCell ref="B7:C7"/>
    <mergeCell ref="D7:E7"/>
    <mergeCell ref="F7:G7"/>
    <mergeCell ref="B8:C8"/>
    <mergeCell ref="D8:E8"/>
    <mergeCell ref="F8:G8"/>
    <mergeCell ref="B10:C10"/>
    <mergeCell ref="D10:E10"/>
    <mergeCell ref="F10:G10"/>
    <mergeCell ref="B11:C11"/>
    <mergeCell ref="D11:E11"/>
    <mergeCell ref="F11:G11"/>
    <mergeCell ref="B13:G13"/>
    <mergeCell ref="B20:G20"/>
    <mergeCell ref="B21:G21"/>
    <mergeCell ref="B22:G22"/>
    <mergeCell ref="B23:G23"/>
    <mergeCell ref="B24:G24"/>
    <mergeCell ref="B27:G27"/>
    <mergeCell ref="C28:G28"/>
    <mergeCell ref="C29:G29"/>
    <mergeCell ref="C30:G30"/>
    <mergeCell ref="B33:G33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5C5C"/>
    <pageSetUpPr fitToPage="false"/>
  </sheetPr>
  <dimension ref="A1:I69"/>
  <sheetViews>
    <sheetView showFormulas="false" showGridLines="false" showRowColHeaders="true" showZeros="true" rightToLeft="false" tabSelected="false" showOutlineSymbols="true" defaultGridColor="true" view="normal" topLeftCell="A68" colorId="64" zoomScale="100" zoomScaleNormal="100" zoomScalePageLayoutView="100" workbookViewId="0">
      <selection pane="topLeft" activeCell="D61" activeCellId="0" sqref="D6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"/>
    <col collapsed="false" customWidth="true" hidden="false" outlineLevel="0" max="3" min="3" style="1" width="3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50"/>
    <col collapsed="false" customWidth="true" hidden="false" outlineLevel="0" max="7" min="7" style="1" width="28"/>
    <col collapsed="false" customWidth="true" hidden="false" outlineLevel="0" max="8" min="8" style="1" width="22"/>
    <col collapsed="false" customWidth="true" hidden="false" outlineLevel="0" max="9" min="9" style="1" width="2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2"/>
      <c r="B2" s="2"/>
      <c r="C2" s="29" t="s">
        <v>0</v>
      </c>
      <c r="D2" s="29"/>
      <c r="E2" s="29"/>
      <c r="F2" s="29"/>
      <c r="G2" s="29"/>
      <c r="H2" s="29"/>
      <c r="I2" s="2"/>
    </row>
    <row r="3" customFormat="false" ht="18" hidden="false" customHeight="true" outlineLevel="0" collapsed="false">
      <c r="A3" s="2"/>
      <c r="B3" s="2"/>
      <c r="C3" s="30" t="s">
        <v>30</v>
      </c>
      <c r="D3" s="30"/>
      <c r="E3" s="30"/>
      <c r="F3" s="30"/>
      <c r="G3" s="30"/>
      <c r="H3" s="30"/>
      <c r="I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27.75" hidden="false" customHeight="true" outlineLevel="0" collapsed="false">
      <c r="A5" s="2"/>
      <c r="B5" s="2"/>
      <c r="C5" s="21" t="s">
        <v>31</v>
      </c>
      <c r="D5" s="31" t="s">
        <v>32</v>
      </c>
      <c r="E5" s="31" t="s">
        <v>33</v>
      </c>
      <c r="F5" s="21" t="s">
        <v>34</v>
      </c>
      <c r="G5" s="21" t="s">
        <v>35</v>
      </c>
      <c r="H5" s="21" t="s">
        <v>36</v>
      </c>
      <c r="I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</row>
    <row r="7" customFormat="false" ht="25.5" hidden="false" customHeight="true" outlineLevel="0" collapsed="false">
      <c r="A7" s="2"/>
      <c r="B7" s="2"/>
      <c r="C7" s="32" t="s">
        <v>37</v>
      </c>
      <c r="D7" s="32"/>
      <c r="E7" s="32"/>
      <c r="F7" s="32"/>
      <c r="G7" s="32"/>
      <c r="H7" s="32"/>
      <c r="I7" s="2"/>
    </row>
    <row r="8" customFormat="false" ht="21.75" hidden="false" customHeight="true" outlineLevel="0" collapsed="false">
      <c r="A8" s="2"/>
      <c r="B8" s="2"/>
      <c r="C8" s="23" t="s">
        <v>38</v>
      </c>
      <c r="D8" s="33" t="n">
        <v>4</v>
      </c>
      <c r="E8" s="34" t="s">
        <v>39</v>
      </c>
      <c r="F8" s="35" t="s">
        <v>40</v>
      </c>
      <c r="G8" s="36" t="s">
        <v>41</v>
      </c>
      <c r="H8" s="35" t="s">
        <v>42</v>
      </c>
      <c r="I8" s="2"/>
    </row>
    <row r="9" customFormat="false" ht="21.75" hidden="false" customHeight="true" outlineLevel="0" collapsed="false">
      <c r="A9" s="2"/>
      <c r="B9" s="2"/>
      <c r="C9" s="25" t="s">
        <v>43</v>
      </c>
      <c r="D9" s="33" t="n">
        <v>2</v>
      </c>
      <c r="E9" s="37" t="s">
        <v>39</v>
      </c>
      <c r="F9" s="38" t="s">
        <v>44</v>
      </c>
      <c r="G9" s="39" t="s">
        <v>45</v>
      </c>
      <c r="H9" s="38" t="s">
        <v>46</v>
      </c>
      <c r="I9" s="2"/>
    </row>
    <row r="10" customFormat="false" ht="21.75" hidden="false" customHeight="true" outlineLevel="0" collapsed="false">
      <c r="A10" s="2"/>
      <c r="B10" s="2"/>
      <c r="C10" s="23" t="s">
        <v>47</v>
      </c>
      <c r="D10" s="33" t="s">
        <v>48</v>
      </c>
      <c r="E10" s="34" t="s">
        <v>49</v>
      </c>
      <c r="F10" s="35" t="s">
        <v>50</v>
      </c>
      <c r="G10" s="36" t="s">
        <v>51</v>
      </c>
      <c r="H10" s="35" t="s">
        <v>52</v>
      </c>
      <c r="I10" s="2"/>
    </row>
    <row r="11" customFormat="false" ht="21.75" hidden="false" customHeight="true" outlineLevel="0" collapsed="false">
      <c r="A11" s="2"/>
      <c r="B11" s="2"/>
      <c r="C11" s="25" t="s">
        <v>53</v>
      </c>
      <c r="D11" s="40" t="n">
        <v>150000</v>
      </c>
      <c r="E11" s="37" t="s">
        <v>54</v>
      </c>
      <c r="F11" s="38" t="s">
        <v>55</v>
      </c>
      <c r="G11" s="39" t="s">
        <v>56</v>
      </c>
      <c r="H11" s="38" t="s">
        <v>57</v>
      </c>
      <c r="I11" s="2"/>
    </row>
    <row r="12" customFormat="false" ht="21.75" hidden="false" customHeight="true" outlineLevel="0" collapsed="false">
      <c r="A12" s="2"/>
      <c r="B12" s="2"/>
      <c r="C12" s="23" t="s">
        <v>58</v>
      </c>
      <c r="D12" s="33" t="n">
        <v>1</v>
      </c>
      <c r="E12" s="34" t="s">
        <v>59</v>
      </c>
      <c r="F12" s="35" t="s">
        <v>60</v>
      </c>
      <c r="G12" s="36" t="s">
        <v>61</v>
      </c>
      <c r="H12" s="35" t="s">
        <v>62</v>
      </c>
      <c r="I12" s="2"/>
    </row>
    <row r="13" customFormat="false" ht="21.75" hidden="false" customHeight="true" outlineLevel="0" collapsed="false">
      <c r="A13" s="2"/>
      <c r="B13" s="2"/>
      <c r="C13" s="25" t="s">
        <v>63</v>
      </c>
      <c r="D13" s="40" t="n">
        <v>12000</v>
      </c>
      <c r="E13" s="37" t="s">
        <v>54</v>
      </c>
      <c r="F13" s="38" t="s">
        <v>64</v>
      </c>
      <c r="G13" s="39" t="s">
        <v>65</v>
      </c>
      <c r="H13" s="38" t="s">
        <v>66</v>
      </c>
      <c r="I13" s="2"/>
    </row>
    <row r="14" customFormat="false" ht="21.75" hidden="false" customHeight="true" outlineLevel="0" collapsed="false">
      <c r="A14" s="2"/>
      <c r="B14" s="2"/>
      <c r="C14" s="23" t="s">
        <v>67</v>
      </c>
      <c r="D14" s="40" t="n">
        <v>2000</v>
      </c>
      <c r="E14" s="34" t="s">
        <v>68</v>
      </c>
      <c r="F14" s="35" t="s">
        <v>69</v>
      </c>
      <c r="G14" s="36" t="s">
        <v>70</v>
      </c>
      <c r="H14" s="35" t="s">
        <v>71</v>
      </c>
      <c r="I14" s="2"/>
    </row>
    <row r="15" customFormat="false" ht="21.75" hidden="false" customHeight="true" outlineLevel="0" collapsed="false">
      <c r="A15" s="2"/>
      <c r="B15" s="2"/>
      <c r="C15" s="25" t="s">
        <v>72</v>
      </c>
      <c r="D15" s="33" t="n">
        <v>1</v>
      </c>
      <c r="E15" s="37" t="s">
        <v>73</v>
      </c>
      <c r="F15" s="38" t="s">
        <v>74</v>
      </c>
      <c r="G15" s="39" t="s">
        <v>75</v>
      </c>
      <c r="H15" s="38" t="s">
        <v>76</v>
      </c>
      <c r="I15" s="2"/>
    </row>
    <row r="16" customFormat="false" ht="21.75" hidden="false" customHeight="true" outlineLevel="0" collapsed="false">
      <c r="A16" s="2"/>
      <c r="B16" s="2"/>
      <c r="C16" s="23" t="s">
        <v>77</v>
      </c>
      <c r="D16" s="40" t="n">
        <v>4000</v>
      </c>
      <c r="E16" s="34" t="s">
        <v>68</v>
      </c>
      <c r="F16" s="35" t="s">
        <v>78</v>
      </c>
      <c r="G16" s="36" t="s">
        <v>79</v>
      </c>
      <c r="H16" s="35" t="s">
        <v>80</v>
      </c>
      <c r="I16" s="2"/>
    </row>
    <row r="17" customFormat="false" ht="21.75" hidden="false" customHeight="true" outlineLevel="0" collapsed="false">
      <c r="A17" s="2"/>
      <c r="B17" s="2"/>
      <c r="C17" s="25" t="s">
        <v>81</v>
      </c>
      <c r="D17" s="40" t="n">
        <v>100000</v>
      </c>
      <c r="E17" s="37" t="s">
        <v>54</v>
      </c>
      <c r="F17" s="38" t="s">
        <v>82</v>
      </c>
      <c r="G17" s="39" t="s">
        <v>83</v>
      </c>
      <c r="H17" s="38" t="s">
        <v>84</v>
      </c>
      <c r="I17" s="2"/>
    </row>
    <row r="18" customFormat="false" ht="21.75" hidden="false" customHeight="true" outlineLevel="0" collapsed="false">
      <c r="A18" s="2"/>
      <c r="B18" s="2"/>
      <c r="C18" s="23" t="s">
        <v>85</v>
      </c>
      <c r="D18" s="33" t="n">
        <v>4</v>
      </c>
      <c r="E18" s="34" t="s">
        <v>86</v>
      </c>
      <c r="F18" s="35" t="s">
        <v>87</v>
      </c>
      <c r="G18" s="36" t="s">
        <v>88</v>
      </c>
      <c r="H18" s="35" t="s">
        <v>89</v>
      </c>
      <c r="I18" s="2"/>
    </row>
    <row r="19" customFormat="false" ht="21.75" hidden="false" customHeight="true" outlineLevel="0" collapsed="false">
      <c r="A19" s="2"/>
      <c r="B19" s="2"/>
      <c r="C19" s="25" t="s">
        <v>90</v>
      </c>
      <c r="D19" s="40" t="n">
        <v>150000</v>
      </c>
      <c r="E19" s="37" t="s">
        <v>54</v>
      </c>
      <c r="F19" s="38" t="s">
        <v>91</v>
      </c>
      <c r="G19" s="39" t="s">
        <v>92</v>
      </c>
      <c r="H19" s="38" t="s">
        <v>93</v>
      </c>
      <c r="I19" s="2"/>
    </row>
    <row r="20" customFormat="false" ht="21.75" hidden="false" customHeight="true" outlineLevel="0" collapsed="false">
      <c r="A20" s="2"/>
      <c r="B20" s="2"/>
      <c r="C20" s="23" t="s">
        <v>94</v>
      </c>
      <c r="D20" s="40" t="n">
        <v>15000</v>
      </c>
      <c r="E20" s="34" t="s">
        <v>54</v>
      </c>
      <c r="F20" s="35" t="s">
        <v>95</v>
      </c>
      <c r="G20" s="36" t="s">
        <v>96</v>
      </c>
      <c r="H20" s="35" t="s">
        <v>97</v>
      </c>
      <c r="I20" s="2"/>
    </row>
    <row r="21" customFormat="false" ht="21.75" hidden="false" customHeight="true" outlineLevel="0" collapsed="false">
      <c r="A21" s="2"/>
      <c r="B21" s="2"/>
      <c r="C21" s="25" t="s">
        <v>98</v>
      </c>
      <c r="D21" s="41" t="n">
        <v>0.06</v>
      </c>
      <c r="E21" s="37" t="s">
        <v>99</v>
      </c>
      <c r="F21" s="38" t="s">
        <v>100</v>
      </c>
      <c r="G21" s="39" t="s">
        <v>101</v>
      </c>
      <c r="H21" s="38" t="s">
        <v>102</v>
      </c>
      <c r="I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25.5" hidden="false" customHeight="true" outlineLevel="0" collapsed="false">
      <c r="A23" s="2"/>
      <c r="B23" s="2"/>
      <c r="C23" s="32" t="s">
        <v>103</v>
      </c>
      <c r="D23" s="32"/>
      <c r="E23" s="32"/>
      <c r="F23" s="32"/>
      <c r="G23" s="32"/>
      <c r="H23" s="32"/>
      <c r="I23" s="2"/>
    </row>
    <row r="24" customFormat="false" ht="21.75" hidden="false" customHeight="true" outlineLevel="0" collapsed="false">
      <c r="A24" s="2"/>
      <c r="B24" s="2"/>
      <c r="C24" s="23" t="s">
        <v>104</v>
      </c>
      <c r="D24" s="33" t="n">
        <v>50</v>
      </c>
      <c r="E24" s="34" t="s">
        <v>105</v>
      </c>
      <c r="F24" s="35" t="s">
        <v>106</v>
      </c>
      <c r="G24" s="36" t="s">
        <v>107</v>
      </c>
      <c r="H24" s="35" t="s">
        <v>108</v>
      </c>
      <c r="I24" s="2"/>
    </row>
    <row r="25" customFormat="false" ht="21.75" hidden="false" customHeight="true" outlineLevel="0" collapsed="false">
      <c r="A25" s="2"/>
      <c r="B25" s="2"/>
      <c r="C25" s="25" t="s">
        <v>109</v>
      </c>
      <c r="D25" s="33" t="s">
        <v>110</v>
      </c>
      <c r="E25" s="37" t="s">
        <v>111</v>
      </c>
      <c r="F25" s="38" t="s">
        <v>112</v>
      </c>
      <c r="G25" s="39" t="s">
        <v>113</v>
      </c>
      <c r="H25" s="38" t="s">
        <v>114</v>
      </c>
      <c r="I25" s="2"/>
    </row>
    <row r="26" customFormat="false" ht="21.75" hidden="false" customHeight="true" outlineLevel="0" collapsed="false">
      <c r="A26" s="2"/>
      <c r="B26" s="2"/>
      <c r="C26" s="23" t="s">
        <v>115</v>
      </c>
      <c r="D26" s="40" t="n">
        <v>512</v>
      </c>
      <c r="E26" s="34" t="s">
        <v>116</v>
      </c>
      <c r="F26" s="35" t="s">
        <v>117</v>
      </c>
      <c r="G26" s="36" t="s">
        <v>118</v>
      </c>
      <c r="H26" s="35" t="s">
        <v>119</v>
      </c>
      <c r="I26" s="2"/>
    </row>
    <row r="27" customFormat="false" ht="21.75" hidden="false" customHeight="true" outlineLevel="0" collapsed="false">
      <c r="A27" s="2"/>
      <c r="B27" s="2"/>
      <c r="C27" s="25" t="s">
        <v>120</v>
      </c>
      <c r="D27" s="40" t="n">
        <v>200</v>
      </c>
      <c r="E27" s="37" t="s">
        <v>121</v>
      </c>
      <c r="F27" s="38" t="s">
        <v>122</v>
      </c>
      <c r="G27" s="39" t="s">
        <v>123</v>
      </c>
      <c r="H27" s="38" t="s">
        <v>124</v>
      </c>
      <c r="I27" s="2"/>
    </row>
    <row r="28" customFormat="false" ht="21.75" hidden="false" customHeight="true" outlineLevel="0" collapsed="false">
      <c r="A28" s="2"/>
      <c r="B28" s="2"/>
      <c r="C28" s="23" t="s">
        <v>125</v>
      </c>
      <c r="D28" s="33" t="n">
        <v>50</v>
      </c>
      <c r="E28" s="34" t="s">
        <v>105</v>
      </c>
      <c r="F28" s="35" t="s">
        <v>126</v>
      </c>
      <c r="G28" s="36" t="s">
        <v>127</v>
      </c>
      <c r="H28" s="35" t="s">
        <v>128</v>
      </c>
      <c r="I28" s="2"/>
    </row>
    <row r="29" customFormat="false" ht="21.75" hidden="false" customHeight="true" outlineLevel="0" collapsed="false">
      <c r="A29" s="2"/>
      <c r="B29" s="2"/>
      <c r="C29" s="25" t="s">
        <v>129</v>
      </c>
      <c r="D29" s="33" t="n">
        <v>20</v>
      </c>
      <c r="E29" s="37" t="s">
        <v>105</v>
      </c>
      <c r="F29" s="38" t="s">
        <v>130</v>
      </c>
      <c r="G29" s="39" t="s">
        <v>131</v>
      </c>
      <c r="H29" s="38" t="s">
        <v>132</v>
      </c>
      <c r="I29" s="2"/>
    </row>
    <row r="30" customFormat="false" ht="21.75" hidden="false" customHeight="true" outlineLevel="0" collapsed="false">
      <c r="A30" s="2"/>
      <c r="B30" s="2"/>
      <c r="C30" s="23" t="s">
        <v>133</v>
      </c>
      <c r="D30" s="33" t="n">
        <v>10</v>
      </c>
      <c r="E30" s="34" t="s">
        <v>105</v>
      </c>
      <c r="F30" s="35" t="s">
        <v>134</v>
      </c>
      <c r="G30" s="36" t="s">
        <v>135</v>
      </c>
      <c r="H30" s="35" t="s">
        <v>136</v>
      </c>
      <c r="I30" s="2"/>
    </row>
    <row r="31" customFormat="false" ht="21.75" hidden="false" customHeight="true" outlineLevel="0" collapsed="false">
      <c r="A31" s="2"/>
      <c r="B31" s="2"/>
      <c r="C31" s="25" t="s">
        <v>137</v>
      </c>
      <c r="D31" s="33" t="n">
        <v>5</v>
      </c>
      <c r="E31" s="37" t="s">
        <v>105</v>
      </c>
      <c r="F31" s="38" t="s">
        <v>138</v>
      </c>
      <c r="G31" s="39" t="s">
        <v>139</v>
      </c>
      <c r="H31" s="38" t="s">
        <v>140</v>
      </c>
      <c r="I31" s="2"/>
    </row>
    <row r="32" customFormat="false" ht="21.75" hidden="false" customHeight="true" outlineLevel="0" collapsed="false">
      <c r="A32" s="2"/>
      <c r="B32" s="2"/>
      <c r="C32" s="23" t="s">
        <v>141</v>
      </c>
      <c r="D32" s="33" t="n">
        <v>48</v>
      </c>
      <c r="E32" s="34" t="s">
        <v>142</v>
      </c>
      <c r="F32" s="35" t="s">
        <v>143</v>
      </c>
      <c r="G32" s="36" t="s">
        <v>144</v>
      </c>
      <c r="H32" s="35" t="s">
        <v>145</v>
      </c>
      <c r="I32" s="2"/>
    </row>
    <row r="33" customFormat="false" ht="21.75" hidden="false" customHeight="true" outlineLevel="0" collapsed="false">
      <c r="A33" s="2"/>
      <c r="B33" s="2"/>
      <c r="C33" s="25" t="s">
        <v>146</v>
      </c>
      <c r="D33" s="33" t="n">
        <v>96</v>
      </c>
      <c r="E33" s="37" t="s">
        <v>147</v>
      </c>
      <c r="F33" s="38" t="s">
        <v>148</v>
      </c>
      <c r="G33" s="39" t="s">
        <v>149</v>
      </c>
      <c r="H33" s="38" t="s">
        <v>150</v>
      </c>
      <c r="I33" s="2"/>
    </row>
    <row r="34" customFormat="false" ht="21.75" hidden="false" customHeight="true" outlineLevel="0" collapsed="false">
      <c r="A34" s="2"/>
      <c r="B34" s="2"/>
      <c r="C34" s="23" t="s">
        <v>151</v>
      </c>
      <c r="D34" s="33" t="n">
        <v>500</v>
      </c>
      <c r="E34" s="34" t="s">
        <v>152</v>
      </c>
      <c r="F34" s="35" t="s">
        <v>153</v>
      </c>
      <c r="G34" s="36" t="s">
        <v>154</v>
      </c>
      <c r="H34" s="35" t="s">
        <v>155</v>
      </c>
      <c r="I34" s="2"/>
    </row>
    <row r="35" customFormat="false" ht="21.75" hidden="false" customHeight="true" outlineLevel="0" collapsed="false">
      <c r="A35" s="2"/>
      <c r="B35" s="2"/>
      <c r="C35" s="25" t="s">
        <v>156</v>
      </c>
      <c r="D35" s="33" t="n">
        <v>2</v>
      </c>
      <c r="E35" s="37" t="s">
        <v>157</v>
      </c>
      <c r="F35" s="38" t="s">
        <v>158</v>
      </c>
      <c r="G35" s="39" t="s">
        <v>159</v>
      </c>
      <c r="H35" s="38" t="s">
        <v>76</v>
      </c>
      <c r="I35" s="2"/>
    </row>
    <row r="36" customFormat="false" ht="21.75" hidden="false" customHeight="true" outlineLevel="0" collapsed="false">
      <c r="A36" s="2"/>
      <c r="B36" s="2"/>
      <c r="C36" s="23" t="s">
        <v>160</v>
      </c>
      <c r="D36" s="33" t="n">
        <v>4</v>
      </c>
      <c r="E36" s="34" t="s">
        <v>86</v>
      </c>
      <c r="F36" s="35" t="s">
        <v>161</v>
      </c>
      <c r="G36" s="36" t="s">
        <v>162</v>
      </c>
      <c r="H36" s="35" t="s">
        <v>163</v>
      </c>
      <c r="I36" s="2"/>
    </row>
    <row r="37" customFormat="false" ht="21.75" hidden="false" customHeight="true" outlineLevel="0" collapsed="false">
      <c r="A37" s="2"/>
      <c r="B37" s="2"/>
      <c r="C37" s="25" t="s">
        <v>164</v>
      </c>
      <c r="D37" s="40" t="n">
        <v>150000</v>
      </c>
      <c r="E37" s="37" t="s">
        <v>54</v>
      </c>
      <c r="F37" s="38" t="s">
        <v>165</v>
      </c>
      <c r="G37" s="39" t="s">
        <v>166</v>
      </c>
      <c r="H37" s="38" t="s">
        <v>167</v>
      </c>
      <c r="I37" s="2"/>
    </row>
    <row r="38" customFormat="false" ht="21.75" hidden="false" customHeight="true" outlineLevel="0" collapsed="false">
      <c r="A38" s="2"/>
      <c r="B38" s="2"/>
      <c r="C38" s="23" t="s">
        <v>168</v>
      </c>
      <c r="D38" s="40" t="n">
        <v>5000</v>
      </c>
      <c r="E38" s="34" t="s">
        <v>54</v>
      </c>
      <c r="F38" s="35" t="s">
        <v>169</v>
      </c>
      <c r="G38" s="36" t="s">
        <v>170</v>
      </c>
      <c r="H38" s="35" t="s">
        <v>97</v>
      </c>
      <c r="I38" s="2"/>
    </row>
    <row r="39" customFormat="false" ht="21.75" hidden="false" customHeight="true" outlineLevel="0" collapsed="false">
      <c r="A39" s="2"/>
      <c r="B39" s="2"/>
      <c r="C39" s="25" t="s">
        <v>171</v>
      </c>
      <c r="D39" s="41" t="n">
        <v>0.15</v>
      </c>
      <c r="E39" s="37" t="s">
        <v>99</v>
      </c>
      <c r="F39" s="38" t="s">
        <v>172</v>
      </c>
      <c r="G39" s="39" t="s">
        <v>173</v>
      </c>
      <c r="H39" s="38" t="s">
        <v>174</v>
      </c>
      <c r="I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25.5" hidden="false" customHeight="true" outlineLevel="0" collapsed="false">
      <c r="A41" s="2"/>
      <c r="B41" s="2"/>
      <c r="C41" s="32" t="s">
        <v>175</v>
      </c>
      <c r="D41" s="32"/>
      <c r="E41" s="32"/>
      <c r="F41" s="32"/>
      <c r="G41" s="32"/>
      <c r="H41" s="32"/>
      <c r="I41" s="2"/>
    </row>
    <row r="42" customFormat="false" ht="21.75" hidden="false" customHeight="true" outlineLevel="0" collapsed="false">
      <c r="A42" s="2"/>
      <c r="B42" s="2"/>
      <c r="C42" s="23" t="s">
        <v>176</v>
      </c>
      <c r="D42" s="33" t="n">
        <v>10</v>
      </c>
      <c r="E42" s="34" t="s">
        <v>177</v>
      </c>
      <c r="F42" s="35" t="s">
        <v>178</v>
      </c>
      <c r="G42" s="36" t="s">
        <v>179</v>
      </c>
      <c r="H42" s="35" t="s">
        <v>180</v>
      </c>
      <c r="I42" s="2"/>
    </row>
    <row r="43" customFormat="false" ht="21.75" hidden="false" customHeight="true" outlineLevel="0" collapsed="false">
      <c r="A43" s="2"/>
      <c r="B43" s="2"/>
      <c r="C43" s="25" t="s">
        <v>181</v>
      </c>
      <c r="D43" s="41" t="n">
        <v>0.1</v>
      </c>
      <c r="E43" s="37" t="s">
        <v>99</v>
      </c>
      <c r="F43" s="38" t="s">
        <v>182</v>
      </c>
      <c r="G43" s="39" t="s">
        <v>183</v>
      </c>
      <c r="H43" s="38" t="s">
        <v>184</v>
      </c>
      <c r="I43" s="2"/>
    </row>
    <row r="44" customFormat="false" ht="21.75" hidden="false" customHeight="true" outlineLevel="0" collapsed="false">
      <c r="A44" s="2"/>
      <c r="B44" s="2"/>
      <c r="C44" s="23" t="s">
        <v>185</v>
      </c>
      <c r="D44" s="41" t="n">
        <v>0.5</v>
      </c>
      <c r="E44" s="34" t="s">
        <v>99</v>
      </c>
      <c r="F44" s="35" t="s">
        <v>186</v>
      </c>
      <c r="G44" s="36" t="s">
        <v>187</v>
      </c>
      <c r="H44" s="35" t="s">
        <v>184</v>
      </c>
      <c r="I44" s="2"/>
    </row>
    <row r="45" customFormat="false" ht="21.75" hidden="false" customHeight="true" outlineLevel="0" collapsed="false">
      <c r="A45" s="2"/>
      <c r="B45" s="2"/>
      <c r="C45" s="25" t="s">
        <v>188</v>
      </c>
      <c r="D45" s="41" t="n">
        <v>0.4</v>
      </c>
      <c r="E45" s="37" t="s">
        <v>99</v>
      </c>
      <c r="F45" s="38" t="s">
        <v>189</v>
      </c>
      <c r="G45" s="39" t="s">
        <v>190</v>
      </c>
      <c r="H45" s="38" t="s">
        <v>184</v>
      </c>
      <c r="I45" s="2"/>
    </row>
    <row r="46" customFormat="false" ht="21.75" hidden="false" customHeight="true" outlineLevel="0" collapsed="false">
      <c r="A46" s="2"/>
      <c r="B46" s="2"/>
      <c r="C46" s="23" t="s">
        <v>191</v>
      </c>
      <c r="D46" s="33" t="n">
        <v>30</v>
      </c>
      <c r="E46" s="34" t="s">
        <v>177</v>
      </c>
      <c r="F46" s="35" t="s">
        <v>192</v>
      </c>
      <c r="G46" s="36" t="s">
        <v>193</v>
      </c>
      <c r="H46" s="35" t="s">
        <v>194</v>
      </c>
      <c r="I46" s="2"/>
    </row>
    <row r="47" customFormat="false" ht="21.75" hidden="false" customHeight="true" outlineLevel="0" collapsed="false">
      <c r="A47" s="2"/>
      <c r="B47" s="2"/>
      <c r="C47" s="25" t="s">
        <v>195</v>
      </c>
      <c r="D47" s="33" t="n">
        <v>12</v>
      </c>
      <c r="E47" s="37" t="s">
        <v>196</v>
      </c>
      <c r="F47" s="38" t="s">
        <v>197</v>
      </c>
      <c r="G47" s="39" t="s">
        <v>198</v>
      </c>
      <c r="H47" s="38" t="s">
        <v>199</v>
      </c>
      <c r="I47" s="2"/>
    </row>
    <row r="48" customFormat="false" ht="21.75" hidden="false" customHeight="true" outlineLevel="0" collapsed="false">
      <c r="A48" s="2"/>
      <c r="B48" s="2"/>
      <c r="C48" s="23" t="s">
        <v>200</v>
      </c>
      <c r="D48" s="33" t="n">
        <v>3</v>
      </c>
      <c r="E48" s="34" t="s">
        <v>196</v>
      </c>
      <c r="F48" s="35" t="s">
        <v>201</v>
      </c>
      <c r="G48" s="36" t="s">
        <v>202</v>
      </c>
      <c r="H48" s="35" t="s">
        <v>203</v>
      </c>
      <c r="I48" s="2"/>
    </row>
    <row r="49" customFormat="false" ht="21.75" hidden="false" customHeight="true" outlineLevel="0" collapsed="false">
      <c r="A49" s="2"/>
      <c r="B49" s="2"/>
      <c r="C49" s="25" t="s">
        <v>204</v>
      </c>
      <c r="D49" s="33" t="n">
        <v>600</v>
      </c>
      <c r="E49" s="37" t="s">
        <v>205</v>
      </c>
      <c r="F49" s="38" t="s">
        <v>206</v>
      </c>
      <c r="G49" s="39" t="s">
        <v>207</v>
      </c>
      <c r="H49" s="38" t="s">
        <v>208</v>
      </c>
      <c r="I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25.5" hidden="false" customHeight="true" outlineLevel="0" collapsed="false">
      <c r="A51" s="2"/>
      <c r="B51" s="2"/>
      <c r="C51" s="32" t="s">
        <v>209</v>
      </c>
      <c r="D51" s="32"/>
      <c r="E51" s="32"/>
      <c r="F51" s="32"/>
      <c r="G51" s="32"/>
      <c r="H51" s="32"/>
      <c r="I51" s="2"/>
    </row>
    <row r="52" customFormat="false" ht="21.75" hidden="false" customHeight="true" outlineLevel="0" collapsed="false">
      <c r="A52" s="2"/>
      <c r="B52" s="2"/>
      <c r="C52" s="23" t="s">
        <v>210</v>
      </c>
      <c r="D52" s="40" t="n">
        <v>25000</v>
      </c>
      <c r="E52" s="34" t="s">
        <v>211</v>
      </c>
      <c r="F52" s="35" t="s">
        <v>212</v>
      </c>
      <c r="G52" s="36" t="s">
        <v>213</v>
      </c>
      <c r="H52" s="35" t="s">
        <v>214</v>
      </c>
      <c r="I52" s="2"/>
    </row>
    <row r="53" customFormat="false" ht="21.75" hidden="false" customHeight="true" outlineLevel="0" collapsed="false">
      <c r="A53" s="2"/>
      <c r="B53" s="2"/>
      <c r="C53" s="25" t="s">
        <v>215</v>
      </c>
      <c r="D53" s="40" t="n">
        <v>15000</v>
      </c>
      <c r="E53" s="37" t="s">
        <v>211</v>
      </c>
      <c r="F53" s="38" t="s">
        <v>216</v>
      </c>
      <c r="G53" s="39" t="s">
        <v>217</v>
      </c>
      <c r="H53" s="38" t="s">
        <v>214</v>
      </c>
      <c r="I53" s="2"/>
    </row>
    <row r="54" customFormat="false" ht="21.75" hidden="false" customHeight="true" outlineLevel="0" collapsed="false">
      <c r="A54" s="2"/>
      <c r="B54" s="2"/>
      <c r="C54" s="23" t="s">
        <v>218</v>
      </c>
      <c r="D54" s="40" t="n">
        <v>4000</v>
      </c>
      <c r="E54" s="34" t="s">
        <v>211</v>
      </c>
      <c r="F54" s="35" t="s">
        <v>219</v>
      </c>
      <c r="G54" s="36" t="s">
        <v>220</v>
      </c>
      <c r="H54" s="35" t="s">
        <v>214</v>
      </c>
      <c r="I54" s="2"/>
    </row>
    <row r="55" customFormat="false" ht="21.75" hidden="false" customHeight="true" outlineLevel="0" collapsed="false">
      <c r="A55" s="2"/>
      <c r="B55" s="2"/>
      <c r="C55" s="25" t="s">
        <v>221</v>
      </c>
      <c r="D55" s="40" t="n">
        <v>2000</v>
      </c>
      <c r="E55" s="37" t="s">
        <v>211</v>
      </c>
      <c r="F55" s="38" t="s">
        <v>222</v>
      </c>
      <c r="G55" s="39" t="s">
        <v>223</v>
      </c>
      <c r="H55" s="38" t="s">
        <v>224</v>
      </c>
      <c r="I55" s="2"/>
    </row>
    <row r="56" customFormat="false" ht="21.75" hidden="false" customHeight="true" outlineLevel="0" collapsed="false">
      <c r="A56" s="2"/>
      <c r="B56" s="2"/>
      <c r="C56" s="23" t="s">
        <v>225</v>
      </c>
      <c r="D56" s="40" t="n">
        <v>175</v>
      </c>
      <c r="E56" s="34" t="s">
        <v>226</v>
      </c>
      <c r="F56" s="35" t="s">
        <v>227</v>
      </c>
      <c r="G56" s="36" t="s">
        <v>228</v>
      </c>
      <c r="H56" s="35" t="s">
        <v>229</v>
      </c>
      <c r="I56" s="2"/>
    </row>
    <row r="57" customFormat="false" ht="21.75" hidden="false" customHeight="true" outlineLevel="0" collapsed="false">
      <c r="A57" s="2"/>
      <c r="B57" s="2"/>
      <c r="C57" s="25" t="s">
        <v>230</v>
      </c>
      <c r="D57" s="41" t="n">
        <v>0.3</v>
      </c>
      <c r="E57" s="37" t="s">
        <v>99</v>
      </c>
      <c r="F57" s="38" t="s">
        <v>231</v>
      </c>
      <c r="G57" s="39" t="s">
        <v>232</v>
      </c>
      <c r="H57" s="38" t="s">
        <v>233</v>
      </c>
      <c r="I57" s="2"/>
    </row>
    <row r="58" customFormat="false" ht="21.75" hidden="false" customHeight="true" outlineLevel="0" collapsed="false">
      <c r="A58" s="2"/>
      <c r="B58" s="2"/>
      <c r="C58" s="23" t="s">
        <v>234</v>
      </c>
      <c r="D58" s="41" t="n">
        <v>0.2</v>
      </c>
      <c r="E58" s="34" t="s">
        <v>99</v>
      </c>
      <c r="F58" s="35" t="s">
        <v>235</v>
      </c>
      <c r="G58" s="36" t="s">
        <v>236</v>
      </c>
      <c r="H58" s="35" t="s">
        <v>237</v>
      </c>
      <c r="I58" s="2"/>
    </row>
    <row r="59" customFormat="false" ht="21.75" hidden="false" customHeight="true" outlineLevel="0" collapsed="false">
      <c r="A59" s="2"/>
      <c r="B59" s="2"/>
      <c r="C59" s="25" t="s">
        <v>238</v>
      </c>
      <c r="D59" s="40" t="n">
        <v>50000</v>
      </c>
      <c r="E59" s="37" t="s">
        <v>211</v>
      </c>
      <c r="F59" s="38" t="s">
        <v>239</v>
      </c>
      <c r="G59" s="39" t="s">
        <v>240</v>
      </c>
      <c r="H59" s="38" t="s">
        <v>241</v>
      </c>
      <c r="I59" s="2"/>
    </row>
    <row r="60" customFormat="false" ht="21.75" hidden="false" customHeight="true" outlineLevel="0" collapsed="false">
      <c r="A60" s="2"/>
      <c r="B60" s="2"/>
      <c r="C60" s="23" t="s">
        <v>242</v>
      </c>
      <c r="D60" s="40" t="n">
        <v>25000</v>
      </c>
      <c r="E60" s="34" t="s">
        <v>211</v>
      </c>
      <c r="F60" s="35" t="s">
        <v>243</v>
      </c>
      <c r="G60" s="36" t="s">
        <v>244</v>
      </c>
      <c r="H60" s="35" t="s">
        <v>245</v>
      </c>
      <c r="I60" s="2"/>
    </row>
    <row r="61" customFormat="false" ht="21.75" hidden="false" customHeight="true" outlineLevel="0" collapsed="false">
      <c r="A61" s="2"/>
      <c r="B61" s="2"/>
      <c r="C61" s="25" t="s">
        <v>246</v>
      </c>
      <c r="D61" s="40" t="n">
        <v>2000</v>
      </c>
      <c r="E61" s="37" t="s">
        <v>211</v>
      </c>
      <c r="F61" s="38" t="s">
        <v>247</v>
      </c>
      <c r="G61" s="39" t="s">
        <v>248</v>
      </c>
      <c r="H61" s="38" t="s">
        <v>249</v>
      </c>
      <c r="I61" s="2"/>
    </row>
    <row r="62" customFormat="false" ht="1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</row>
    <row r="63" customFormat="false" ht="25.5" hidden="false" customHeight="true" outlineLevel="0" collapsed="false">
      <c r="A63" s="2"/>
      <c r="B63" s="2"/>
      <c r="C63" s="32" t="s">
        <v>250</v>
      </c>
      <c r="D63" s="32"/>
      <c r="E63" s="32"/>
      <c r="F63" s="32"/>
      <c r="G63" s="32"/>
      <c r="H63" s="32"/>
      <c r="I63" s="2"/>
    </row>
    <row r="64" customFormat="false" ht="21.75" hidden="false" customHeight="true" outlineLevel="0" collapsed="false">
      <c r="A64" s="2"/>
      <c r="B64" s="2"/>
      <c r="C64" s="23" t="s">
        <v>251</v>
      </c>
      <c r="D64" s="33" t="n">
        <v>5</v>
      </c>
      <c r="E64" s="34" t="s">
        <v>252</v>
      </c>
      <c r="F64" s="35" t="s">
        <v>253</v>
      </c>
      <c r="G64" s="36" t="s">
        <v>254</v>
      </c>
      <c r="H64" s="35" t="s">
        <v>255</v>
      </c>
      <c r="I64" s="2"/>
    </row>
    <row r="65" customFormat="false" ht="21.75" hidden="false" customHeight="true" outlineLevel="0" collapsed="false">
      <c r="A65" s="2"/>
      <c r="B65" s="2"/>
      <c r="C65" s="25" t="s">
        <v>256</v>
      </c>
      <c r="D65" s="41" t="n">
        <v>0.08</v>
      </c>
      <c r="E65" s="37" t="s">
        <v>99</v>
      </c>
      <c r="F65" s="38" t="s">
        <v>257</v>
      </c>
      <c r="G65" s="39" t="s">
        <v>258</v>
      </c>
      <c r="H65" s="38" t="s">
        <v>259</v>
      </c>
      <c r="I65" s="2"/>
    </row>
    <row r="66" customFormat="false" ht="21.75" hidden="false" customHeight="true" outlineLevel="0" collapsed="false">
      <c r="A66" s="2"/>
      <c r="B66" s="2"/>
      <c r="C66" s="23" t="s">
        <v>260</v>
      </c>
      <c r="D66" s="41" t="n">
        <v>0.15</v>
      </c>
      <c r="E66" s="34" t="s">
        <v>99</v>
      </c>
      <c r="F66" s="35" t="s">
        <v>261</v>
      </c>
      <c r="G66" s="36" t="s">
        <v>262</v>
      </c>
      <c r="H66" s="35" t="s">
        <v>263</v>
      </c>
      <c r="I66" s="2"/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</row>
    <row r="68" customFormat="false" ht="15" hidden="false" customHeight="true" outlineLevel="0" collapsed="false">
      <c r="A68" s="2"/>
      <c r="B68" s="2"/>
      <c r="C68" s="42" t="s">
        <v>264</v>
      </c>
      <c r="D68" s="42"/>
      <c r="E68" s="42"/>
      <c r="F68" s="42"/>
      <c r="G68" s="42"/>
      <c r="H68" s="42"/>
      <c r="I68" s="2"/>
    </row>
    <row r="69" customFormat="false" ht="1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</row>
  </sheetData>
  <mergeCells count="8">
    <mergeCell ref="C2:H2"/>
    <mergeCell ref="C3:H3"/>
    <mergeCell ref="C7:H7"/>
    <mergeCell ref="C23:H23"/>
    <mergeCell ref="C41:H41"/>
    <mergeCell ref="C51:H51"/>
    <mergeCell ref="C63:H63"/>
    <mergeCell ref="C68:H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F2C"/>
    <pageSetUpPr fitToPage="false"/>
  </sheetPr>
  <dimension ref="A1:I223"/>
  <sheetViews>
    <sheetView showFormulas="false" showGridLines="fals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D23" activeCellId="0" sqref="D2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3" min="3" style="43" width="16"/>
    <col collapsed="false" customWidth="true" hidden="false" outlineLevel="0" max="8" min="4" style="1" width="16"/>
    <col collapsed="false" customWidth="true" hidden="false" outlineLevel="0" max="9" min="9" style="1" width="2"/>
  </cols>
  <sheetData>
    <row r="1" customFormat="false" ht="15" hidden="false" customHeight="true" outlineLevel="0" collapsed="false">
      <c r="A1" s="2"/>
      <c r="B1" s="2"/>
      <c r="C1" s="44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2"/>
      <c r="B2" s="29" t="s">
        <v>265</v>
      </c>
      <c r="C2" s="29"/>
      <c r="D2" s="29"/>
      <c r="E2" s="29"/>
      <c r="F2" s="29"/>
      <c r="G2" s="29"/>
      <c r="H2" s="29"/>
      <c r="I2" s="2"/>
    </row>
    <row r="3" customFormat="false" ht="18" hidden="false" customHeight="true" outlineLevel="0" collapsed="false">
      <c r="A3" s="2"/>
      <c r="B3" s="30" t="s">
        <v>266</v>
      </c>
      <c r="C3" s="30"/>
      <c r="D3" s="30"/>
      <c r="E3" s="30"/>
      <c r="F3" s="30"/>
      <c r="G3" s="30"/>
      <c r="H3" s="30"/>
      <c r="I3" s="2"/>
    </row>
    <row r="4" customFormat="false" ht="15" hidden="false" customHeight="true" outlineLevel="0" collapsed="false">
      <c r="A4" s="2"/>
      <c r="B4" s="2"/>
      <c r="C4" s="44"/>
      <c r="D4" s="2"/>
      <c r="E4" s="2"/>
      <c r="F4" s="2"/>
      <c r="G4" s="2"/>
      <c r="H4" s="2"/>
      <c r="I4" s="2"/>
    </row>
    <row r="5" customFormat="false" ht="18" hidden="false" customHeight="true" outlineLevel="0" collapsed="false">
      <c r="A5" s="2"/>
      <c r="B5" s="7" t="s">
        <v>4</v>
      </c>
      <c r="C5" s="7"/>
      <c r="D5" s="7" t="s">
        <v>267</v>
      </c>
      <c r="E5" s="7"/>
      <c r="F5" s="7" t="s">
        <v>268</v>
      </c>
      <c r="G5" s="7"/>
      <c r="H5" s="7" t="s">
        <v>7</v>
      </c>
      <c r="I5" s="7"/>
    </row>
    <row r="6" customFormat="false" ht="31.5" hidden="false" customHeight="true" outlineLevel="0" collapsed="false">
      <c r="A6" s="2"/>
      <c r="B6" s="8" t="n">
        <f aca="false">D20</f>
        <v>1313340</v>
      </c>
      <c r="C6" s="8"/>
      <c r="D6" s="45" t="n">
        <f aca="false">D24</f>
        <v>707295.798370002</v>
      </c>
      <c r="E6" s="45"/>
      <c r="F6" s="9" t="n">
        <f aca="false">D26</f>
        <v>606044.201629998</v>
      </c>
      <c r="G6" s="9"/>
      <c r="H6" s="8" t="n">
        <f aca="false">C44</f>
        <v>1864150.739511</v>
      </c>
      <c r="I6" s="8"/>
    </row>
    <row r="7" customFormat="false" ht="18" hidden="false" customHeight="true" outlineLevel="0" collapsed="false">
      <c r="A7" s="2"/>
      <c r="B7" s="7" t="s">
        <v>269</v>
      </c>
      <c r="C7" s="7"/>
      <c r="D7" s="7" t="s">
        <v>270</v>
      </c>
      <c r="E7" s="7"/>
      <c r="F7" s="7" t="s">
        <v>9</v>
      </c>
      <c r="G7" s="7"/>
      <c r="H7" s="7" t="s">
        <v>271</v>
      </c>
      <c r="I7" s="7"/>
    </row>
    <row r="8" customFormat="false" ht="31.5" hidden="false" customHeight="true" outlineLevel="0" collapsed="false">
      <c r="A8" s="2"/>
      <c r="B8" s="10" t="n">
        <f aca="false">IF(D26&gt;0,C44/D26*12,0)</f>
        <v>36.9111837287888</v>
      </c>
      <c r="C8" s="10"/>
      <c r="D8" s="9" t="n">
        <f aca="false">NPV('1. Configure'!D65,D26:H26)</f>
        <v>2131806.63925197</v>
      </c>
      <c r="E8" s="9"/>
      <c r="F8" s="11" t="n">
        <f aca="false">IF(C44&gt;0,(SUM(D26:H26)-C44)/C44,0)</f>
        <v>0.413277200771764</v>
      </c>
      <c r="G8" s="11"/>
      <c r="H8" s="9" t="n">
        <f aca="false">SUM(D26:H26)</f>
        <v>2634561.73895272</v>
      </c>
      <c r="I8" s="9"/>
    </row>
    <row r="9" customFormat="false" ht="15" hidden="false" customHeight="true" outlineLevel="0" collapsed="false">
      <c r="A9" s="2"/>
      <c r="B9" s="2"/>
      <c r="C9" s="44"/>
      <c r="D9" s="2"/>
      <c r="E9" s="2"/>
      <c r="F9" s="2"/>
      <c r="G9" s="2"/>
      <c r="H9" s="2"/>
      <c r="I9" s="2"/>
    </row>
    <row r="10" customFormat="false" ht="21.75" hidden="false" customHeight="true" outlineLevel="0" collapsed="false">
      <c r="B10" s="5" t="s">
        <v>10</v>
      </c>
      <c r="C10" s="5"/>
      <c r="D10" s="5"/>
      <c r="E10" s="5"/>
      <c r="F10" s="5"/>
      <c r="G10" s="5"/>
      <c r="H10" s="5"/>
    </row>
    <row r="11" customFormat="false" ht="24" hidden="false" customHeight="true" outlineLevel="0" collapsed="false">
      <c r="B11" s="12"/>
      <c r="C11" s="46" t="s">
        <v>11</v>
      </c>
      <c r="D11" s="13" t="s">
        <v>12</v>
      </c>
      <c r="E11" s="13" t="s">
        <v>13</v>
      </c>
    </row>
    <row r="12" customFormat="false" ht="21.75" hidden="false" customHeight="true" outlineLevel="0" collapsed="false">
      <c r="B12" s="14" t="s">
        <v>14</v>
      </c>
      <c r="C12" s="15" t="n">
        <f aca="false">D18</f>
        <v>661440</v>
      </c>
      <c r="D12" s="15" t="n">
        <f aca="false">D19</f>
        <v>651900</v>
      </c>
      <c r="E12" s="16" t="n">
        <f aca="false">D20</f>
        <v>1313340</v>
      </c>
    </row>
    <row r="13" customFormat="false" ht="21.75" hidden="false" customHeight="true" outlineLevel="0" collapsed="false">
      <c r="B13" s="17" t="s">
        <v>15</v>
      </c>
      <c r="C13" s="18" t="n">
        <f aca="false">D22</f>
        <v>11545.7983700017</v>
      </c>
      <c r="D13" s="18" t="n">
        <f aca="false">D23</f>
        <v>695750</v>
      </c>
      <c r="E13" s="19" t="n">
        <f aca="false">D24</f>
        <v>707295.798370002</v>
      </c>
    </row>
    <row r="14" customFormat="false" ht="25.5" hidden="false" customHeight="true" outlineLevel="0" collapsed="false"/>
    <row r="15" customFormat="false" ht="7.5" hidden="false" customHeight="true" outlineLevel="0" collapsed="false"/>
    <row r="16" customFormat="false" ht="21.75" hidden="false" customHeight="true" outlineLevel="0" collapsed="false">
      <c r="A16" s="2"/>
      <c r="B16" s="5" t="s">
        <v>272</v>
      </c>
      <c r="C16" s="5"/>
      <c r="D16" s="5"/>
      <c r="E16" s="5"/>
      <c r="F16" s="5"/>
      <c r="G16" s="5"/>
      <c r="H16" s="5"/>
      <c r="I16" s="2"/>
    </row>
    <row r="17" customFormat="false" ht="21.75" hidden="false" customHeight="true" outlineLevel="0" collapsed="false">
      <c r="A17" s="2"/>
      <c r="B17" s="21" t="s">
        <v>273</v>
      </c>
      <c r="C17" s="47" t="s">
        <v>274</v>
      </c>
      <c r="D17" s="31" t="s">
        <v>275</v>
      </c>
      <c r="E17" s="31" t="s">
        <v>276</v>
      </c>
      <c r="F17" s="31" t="s">
        <v>277</v>
      </c>
      <c r="G17" s="31" t="s">
        <v>278</v>
      </c>
      <c r="H17" s="31" t="s">
        <v>279</v>
      </c>
      <c r="I17" s="2"/>
    </row>
    <row r="18" customFormat="false" ht="25.5" hidden="false" customHeight="true" outlineLevel="0" collapsed="false">
      <c r="A18" s="2"/>
      <c r="B18" s="48" t="s">
        <v>280</v>
      </c>
      <c r="C18" s="49" t="n">
        <v>0</v>
      </c>
      <c r="D18" s="49" t="n">
        <f aca="false">'1. Configure'!D11*(1+'1. Configure'!D21)^1+'1. Configure'!D8*55000*(1+'1. Configure'!D21)^1+'1. Configure'!D9*35000*(1+'1. Configure'!D21)^1+'1. Configure'!D12*'1. Configure'!D13*(1+'1. Configure'!D21)^1+'1. Configure'!D14*12*(1+'1. Configure'!D21)^1+'1. Configure'!D15*'1. Configure'!D16*12*(1+'1. Configure'!D21)^1+'1. Configure'!D17*(1+'1. Configure'!D21)^1</f>
        <v>661440</v>
      </c>
      <c r="E18" s="49" t="n">
        <f aca="false">'1. Configure'!D11*(1+'1. Configure'!D21)^2+'1. Configure'!D8*55000*(1+'1. Configure'!D21)^2+'1. Configure'!D9*35000*(1+'1. Configure'!D21)^2+'1. Configure'!D12*'1. Configure'!D13*(1+'1. Configure'!D21)^2+'1. Configure'!D14*12*(1+'1. Configure'!D21)^2+'1. Configure'!D15*'1. Configure'!D16*12*(1+'1. Configure'!D21)^2+'1. Configure'!D17*(1+'1. Configure'!D21)^2</f>
        <v>701126.4</v>
      </c>
      <c r="F18" s="49" t="n">
        <f aca="false">'1. Configure'!D11*(1+'1. Configure'!D21)^3+'1. Configure'!D8*55000*(1+'1. Configure'!D21)^3+'1. Configure'!D9*35000*(1+'1. Configure'!D21)^3+'1. Configure'!D12*'1. Configure'!D13*(1+'1. Configure'!D21)^3+'1. Configure'!D14*12*(1+'1. Configure'!D21)^3+'1. Configure'!D15*'1. Configure'!D16*12*(1+'1. Configure'!D21)^3+'1. Configure'!D17*(1+'1. Configure'!D21)^3</f>
        <v>743193.984</v>
      </c>
      <c r="G18" s="49" t="n">
        <f aca="false">'1. Configure'!D11*(1+'1. Configure'!D21)^4+'1. Configure'!D8*55000*(1+'1. Configure'!D21)^4+'1. Configure'!D9*35000*(1+'1. Configure'!D21)^4+'1. Configure'!D12*'1. Configure'!D13*(1+'1. Configure'!D21)^4+'1. Configure'!D14*12*(1+'1. Configure'!D21)^4+'1. Configure'!D15*'1. Configure'!D16*12*(1+'1. Configure'!D21)^4+'1. Configure'!D17*(1+'1. Configure'!D21)^4</f>
        <v>787785.62304</v>
      </c>
      <c r="H18" s="49" t="n">
        <f aca="false">'1. Configure'!D11*(1+'1. Configure'!D21)^5+'1. Configure'!D8*55000*(1+'1. Configure'!D21)^5+'1. Configure'!D9*35000*(1+'1. Configure'!D21)^5+'1. Configure'!D12*'1. Configure'!D13*(1+'1. Configure'!D21)^5+'1. Configure'!D14*12*(1+'1. Configure'!D21)^5+'1. Configure'!D15*'1. Configure'!D16*12*(1+'1. Configure'!D21)^5+'1. Configure'!D17*(1+'1. Configure'!D21)^5</f>
        <v>835052.7604224</v>
      </c>
      <c r="I18" s="2"/>
    </row>
    <row r="19" customFormat="false" ht="15" hidden="false" customHeight="false" outlineLevel="0" collapsed="false">
      <c r="A19" s="2"/>
      <c r="B19" s="48" t="s">
        <v>281</v>
      </c>
      <c r="C19" s="49" t="n">
        <v>0</v>
      </c>
      <c r="D19" s="49" t="n">
        <f aca="false">'1. Configure'!D18*'1. Configure'!D19*(1+'1. Configure'!D21)^1+'1. Configure'!D20*(1+'1. Configure'!D21)^1</f>
        <v>651900</v>
      </c>
      <c r="E19" s="49" t="n">
        <f aca="false">'1. Configure'!D18*'1. Configure'!D19*(1+'1. Configure'!D21)^2+'1. Configure'!D20*(1+'1. Configure'!D21)^2</f>
        <v>691014</v>
      </c>
      <c r="F19" s="49" t="n">
        <f aca="false">'1. Configure'!D18*'1. Configure'!D19*(1+'1. Configure'!D21)^3+'1. Configure'!D20*(1+'1. Configure'!D21)^3</f>
        <v>732474.84</v>
      </c>
      <c r="G19" s="49" t="n">
        <f aca="false">'1. Configure'!D18*'1. Configure'!D19*(1+'1. Configure'!D21)^4+'1. Configure'!D20*(1+'1. Configure'!D21)^4</f>
        <v>776423.3304</v>
      </c>
      <c r="H19" s="49" t="n">
        <f aca="false">'1. Configure'!D18*'1. Configure'!D19*(1+'1. Configure'!D21)^5+'1. Configure'!D20*(1+'1. Configure'!D21)^5</f>
        <v>823008.730224</v>
      </c>
      <c r="I19" s="2"/>
    </row>
    <row r="20" customFormat="false" ht="24" hidden="false" customHeight="true" outlineLevel="0" collapsed="false">
      <c r="A20" s="2"/>
      <c r="B20" s="50" t="s">
        <v>282</v>
      </c>
      <c r="C20" s="51" t="n">
        <f aca="false">C18+C19</f>
        <v>0</v>
      </c>
      <c r="D20" s="51" t="n">
        <f aca="false">D18+D19</f>
        <v>1313340</v>
      </c>
      <c r="E20" s="51" t="n">
        <f aca="false">E18+E19</f>
        <v>1392140.4</v>
      </c>
      <c r="F20" s="51" t="n">
        <f aca="false">F18+F19</f>
        <v>1475668.824</v>
      </c>
      <c r="G20" s="51" t="n">
        <f aca="false">G18+G19</f>
        <v>1564208.95344</v>
      </c>
      <c r="H20" s="51" t="n">
        <f aca="false">H18+H19</f>
        <v>1658061.4906464</v>
      </c>
      <c r="I20" s="2"/>
    </row>
    <row r="21" customFormat="false" ht="24" hidden="false" customHeight="true" outlineLevel="0" collapsed="false">
      <c r="A21" s="2"/>
      <c r="B21" s="2"/>
      <c r="C21" s="44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2"/>
      <c r="B22" s="52" t="s">
        <v>283</v>
      </c>
      <c r="C22" s="53" t="n">
        <v>0</v>
      </c>
      <c r="D22" s="53" t="n">
        <f aca="false">('1. Configure'!D24*1*12*(1+'1. Configure'!D66)^0+'1. Configure'!D28*0.2*12*(1+'1. Configure'!D66)^0+('1. Configure'!D26/1024)*('1. Configure'!D27/1000)*'1. Configure'!D28*0.0000166667*12*(1+'1. Configure'!D66)^0+'1. Configure'!D29*0.4*12*(1+'1. Configure'!D66)^0+MAX(0,'1. Configure'!D30-1)*1*12*(1+'1. Configure'!D66)^0+'1. Configure'!D31*0.000025*1000000*12*(1+'1. Configure'!D66)^0+'1. Configure'!D32*0.04048*365*(1+'1. Configure'!D66)^0+'1. Configure'!D33*0.04479*365*(1+'1. Configure'!D66)^0+'1. Configure'!D34*0.5*12*(1+'1. Configure'!D66)^0+'1. Configure'!D34*12*0.03*12*(1+'1. Configure'!D66)^0+'1. Configure'!D35*1024*0.09*12*(1+'1. Configure'!D66)^0+5*12*(1+'1. Configure'!D66)^0+(1+'1. Configure'!D66)^0*60+32.4*12*(1+'1. Configure'!D66)^0+(1+'1. Configure'!D66)^0*1000)*(1-'1. Configure'!D39)</f>
        <v>11545.7983700017</v>
      </c>
      <c r="E22" s="53" t="n">
        <f aca="false">('1. Configure'!D24*1*12*(1+'1. Configure'!D66)^1+'1. Configure'!D28*0.2*12*(1+'1. Configure'!D66)^1+('1. Configure'!D26/1024)*('1. Configure'!D27/1000)*'1. Configure'!D28*0.0000166667*12*(1+'1. Configure'!D66)^1+'1. Configure'!D29*0.4*12*(1+'1. Configure'!D66)^1+MAX(0,'1. Configure'!D30-1)*1*12*(1+'1. Configure'!D66)^1+'1. Configure'!D31*0.000025*1000000*12*(1+'1. Configure'!D66)^1+'1. Configure'!D32*0.04048*365*(1+'1. Configure'!D66)^1+'1. Configure'!D33*0.04479*365*(1+'1. Configure'!D66)^1+'1. Configure'!D34*0.5*12*(1+'1. Configure'!D66)^1+'1. Configure'!D34*12*0.03*12*(1+'1. Configure'!D66)^1+'1. Configure'!D35*1024*0.09*12*(1+'1. Configure'!D66)^1+5*12*(1+'1. Configure'!D66)^1+(1+'1. Configure'!D66)^1*60+32.4*12*(1+'1. Configure'!D66)^1+(1+'1. Configure'!D66)^1*1000)*(1-'1. Configure'!D39)</f>
        <v>13277.668125502</v>
      </c>
      <c r="F22" s="53" t="n">
        <f aca="false">('1. Configure'!D24*1*12*(1+'1. Configure'!D66)^2+'1. Configure'!D28*0.2*12*(1+'1. Configure'!D66)^2+('1. Configure'!D26/1024)*('1. Configure'!D27/1000)*'1. Configure'!D28*0.0000166667*12*(1+'1. Configure'!D66)^2+'1. Configure'!D29*0.4*12*(1+'1. Configure'!D66)^2+MAX(0,'1. Configure'!D30-1)*1*12*(1+'1. Configure'!D66)^2+'1. Configure'!D31*0.000025*1000000*12*(1+'1. Configure'!D66)^2+'1. Configure'!D32*0.04048*365*(1+'1. Configure'!D66)^2+'1. Configure'!D33*0.04479*365*(1+'1. Configure'!D66)^2+'1. Configure'!D34*0.5*12*(1+'1. Configure'!D66)^2+'1. Configure'!D34*12*0.03*12*(1+'1. Configure'!D66)^2+'1. Configure'!D35*1024*0.09*12*(1+'1. Configure'!D66)^2+5*12*(1+'1. Configure'!D66)^2+(1+'1. Configure'!D66)^2*60+32.4*12*(1+'1. Configure'!D66)^2+(1+'1. Configure'!D66)^2*1000)*(1-'1. Configure'!D39)</f>
        <v>15269.3183443272</v>
      </c>
      <c r="G22" s="53" t="n">
        <f aca="false">('1. Configure'!D24*1*12*(1+'1. Configure'!D66)^3+'1. Configure'!D28*0.2*12*(1+'1. Configure'!D66)^3+('1. Configure'!D26/1024)*('1. Configure'!D27/1000)*'1. Configure'!D28*0.0000166667*12*(1+'1. Configure'!D66)^3+'1. Configure'!D29*0.4*12*(1+'1. Configure'!D66)^3+MAX(0,'1. Configure'!D30-1)*1*12*(1+'1. Configure'!D66)^3+'1. Configure'!D31*0.000025*1000000*12*(1+'1. Configure'!D66)^3+'1. Configure'!D32*0.04048*365*(1+'1. Configure'!D66)^3+'1. Configure'!D33*0.04479*365*(1+'1. Configure'!D66)^3+'1. Configure'!D34*0.5*12*(1+'1. Configure'!D66)^3+'1. Configure'!D34*12*0.03*12*(1+'1. Configure'!D66)^3+'1. Configure'!D35*1024*0.09*12*(1+'1. Configure'!D66)^3+5*12*(1+'1. Configure'!D66)^3+(1+'1. Configure'!D66)^3*60+32.4*12*(1+'1. Configure'!D66)^3+(1+'1. Configure'!D66)^3*1000)*(1-'1. Configure'!D39)</f>
        <v>17559.7160959763</v>
      </c>
      <c r="H22" s="53" t="n">
        <f aca="false">('1. Configure'!D24*1*12*(1+'1. Configure'!D66)^4+'1. Configure'!D28*0.2*12*(1+'1. Configure'!D66)^4+('1. Configure'!D26/1024)*('1. Configure'!D27/1000)*'1. Configure'!D28*0.0000166667*12*(1+'1. Configure'!D66)^4+'1. Configure'!D29*0.4*12*(1+'1. Configure'!D66)^4+MAX(0,'1. Configure'!D30-1)*1*12*(1+'1. Configure'!D66)^4+'1. Configure'!D31*0.000025*1000000*12*(1+'1. Configure'!D66)^4+'1. Configure'!D32*0.04048*365*(1+'1. Configure'!D66)^4+'1. Configure'!D33*0.04479*365*(1+'1. Configure'!D66)^4+'1. Configure'!D34*0.5*12*(1+'1. Configure'!D66)^4+'1. Configure'!D34*12*0.03*12*(1+'1. Configure'!D66)^4+'1. Configure'!D35*1024*0.09*12*(1+'1. Configure'!D66)^4+5*12*(1+'1. Configure'!D66)^4+(1+'1. Configure'!D66)^4*60+32.4*12*(1+'1. Configure'!D66)^4+(1+'1. Configure'!D66)^4*1000)*(1-'1. Configure'!D39)</f>
        <v>20193.6735103728</v>
      </c>
      <c r="I22" s="2"/>
    </row>
    <row r="23" customFormat="false" ht="25.5" hidden="false" customHeight="true" outlineLevel="0" collapsed="false">
      <c r="A23" s="2"/>
      <c r="B23" s="52" t="s">
        <v>284</v>
      </c>
      <c r="C23" s="53" t="n">
        <v>0</v>
      </c>
      <c r="D23" s="53" t="n">
        <f aca="false">'1. Configure'!D36*'1. Configure'!D37*(1+'1. Configure'!D66)^1+'1. Configure'!D38*(1+'1. Configure'!D66)^1</f>
        <v>695750</v>
      </c>
      <c r="E23" s="53" t="n">
        <f aca="false">'1. Configure'!D36*'1. Configure'!D37*(1+'1. Configure'!D66)^2+'1. Configure'!D38*(1+'1. Configure'!D66)^2</f>
        <v>800112.5</v>
      </c>
      <c r="F23" s="53" t="n">
        <f aca="false">'1. Configure'!D36*'1. Configure'!D37*(1+'1. Configure'!D66)^3+'1. Configure'!D38*(1+'1. Configure'!D66)^3</f>
        <v>920129.375</v>
      </c>
      <c r="G23" s="53" t="n">
        <f aca="false">'1. Configure'!D36*'1. Configure'!D37*(1+'1. Configure'!D66)^4+'1. Configure'!D38*(1+'1. Configure'!D66)^4</f>
        <v>1058148.78125</v>
      </c>
      <c r="H23" s="53" t="n">
        <f aca="false">'1. Configure'!D36*'1. Configure'!D37*(1+'1. Configure'!D66)^5+'1. Configure'!D38*(1+'1. Configure'!D66)^5</f>
        <v>1216871.0984375</v>
      </c>
      <c r="I23" s="2"/>
    </row>
    <row r="24" customFormat="false" ht="21.75" hidden="false" customHeight="true" outlineLevel="0" collapsed="false">
      <c r="A24" s="2"/>
      <c r="B24" s="54" t="s">
        <v>285</v>
      </c>
      <c r="C24" s="55" t="n">
        <f aca="false">C22+C23</f>
        <v>0</v>
      </c>
      <c r="D24" s="55" t="n">
        <f aca="false">D22+D23</f>
        <v>707295.798370002</v>
      </c>
      <c r="E24" s="55" t="n">
        <f aca="false">E22+E23</f>
        <v>813390.168125502</v>
      </c>
      <c r="F24" s="55" t="n">
        <f aca="false">F22+F23</f>
        <v>935398.693344327</v>
      </c>
      <c r="G24" s="55" t="n">
        <f aca="false">G22+G23</f>
        <v>1075708.49734598</v>
      </c>
      <c r="H24" s="55" t="n">
        <f aca="false">H22+H23</f>
        <v>1237064.77194787</v>
      </c>
      <c r="I24" s="2"/>
    </row>
    <row r="25" customFormat="false" ht="19.5" hidden="false" customHeight="true" outlineLevel="0" collapsed="false">
      <c r="A25" s="2"/>
      <c r="B25" s="2"/>
      <c r="C25" s="44"/>
      <c r="D25" s="2"/>
      <c r="E25" s="2"/>
      <c r="F25" s="2"/>
      <c r="G25" s="2"/>
      <c r="H25" s="2"/>
      <c r="I25" s="2"/>
    </row>
    <row r="26" customFormat="false" ht="19.5" hidden="false" customHeight="true" outlineLevel="0" collapsed="false">
      <c r="A26" s="2"/>
      <c r="B26" s="56" t="s">
        <v>286</v>
      </c>
      <c r="C26" s="57" t="n">
        <f aca="false">-C44</f>
        <v>-1864150.739511</v>
      </c>
      <c r="D26" s="57" t="n">
        <f aca="false">D20-D24</f>
        <v>606044.201629998</v>
      </c>
      <c r="E26" s="57" t="n">
        <f aca="false">E20-E24</f>
        <v>578750.231874498</v>
      </c>
      <c r="F26" s="57" t="n">
        <f aca="false">F20-F24</f>
        <v>540270.130655673</v>
      </c>
      <c r="G26" s="57" t="n">
        <f aca="false">G20-G24</f>
        <v>488500.456094024</v>
      </c>
      <c r="H26" s="57" t="n">
        <f aca="false">H20-H24</f>
        <v>420996.718698528</v>
      </c>
      <c r="I26" s="2"/>
    </row>
    <row r="27" customFormat="false" ht="19.5" hidden="false" customHeight="true" outlineLevel="0" collapsed="false">
      <c r="A27" s="2"/>
      <c r="B27" s="58" t="s">
        <v>287</v>
      </c>
      <c r="C27" s="59" t="n">
        <f aca="false">C26</f>
        <v>-1864150.739511</v>
      </c>
      <c r="D27" s="59" t="n">
        <f aca="false">C27+D26</f>
        <v>-1258106.537881</v>
      </c>
      <c r="E27" s="59" t="n">
        <f aca="false">D27+E26</f>
        <v>-679356.306006504</v>
      </c>
      <c r="F27" s="59" t="n">
        <f aca="false">E27+F26</f>
        <v>-139086.175350831</v>
      </c>
      <c r="G27" s="59" t="n">
        <f aca="false">F27+G26</f>
        <v>349414.280743193</v>
      </c>
      <c r="H27" s="59" t="n">
        <f aca="false">G27+H26</f>
        <v>770410.99944172</v>
      </c>
      <c r="I27" s="2"/>
    </row>
    <row r="28" customFormat="false" ht="19.5" hidden="false" customHeight="true" outlineLevel="0" collapsed="false">
      <c r="A28" s="2"/>
      <c r="B28" s="2"/>
      <c r="C28" s="44"/>
      <c r="D28" s="2"/>
      <c r="E28" s="2"/>
      <c r="F28" s="2"/>
      <c r="G28" s="2"/>
      <c r="H28" s="2"/>
      <c r="I28" s="2"/>
    </row>
    <row r="29" customFormat="false" ht="19.5" hidden="false" customHeight="true" outlineLevel="0" collapsed="false">
      <c r="A29" s="2"/>
      <c r="B29" s="60" t="s">
        <v>288</v>
      </c>
      <c r="C29" s="60"/>
      <c r="D29" s="60"/>
      <c r="E29" s="60"/>
      <c r="F29" s="60"/>
      <c r="G29" s="60"/>
      <c r="H29" s="60"/>
      <c r="I29" s="2"/>
    </row>
    <row r="30" customFormat="false" ht="19.5" hidden="false" customHeight="true" outlineLevel="0" collapsed="false">
      <c r="A30" s="2"/>
      <c r="B30" s="21" t="s">
        <v>289</v>
      </c>
      <c r="C30" s="47" t="s">
        <v>290</v>
      </c>
      <c r="D30" s="61"/>
      <c r="E30" s="61"/>
      <c r="F30" s="61"/>
      <c r="G30" s="61"/>
      <c r="H30" s="61"/>
      <c r="I30" s="2"/>
    </row>
    <row r="31" customFormat="false" ht="19.5" hidden="false" customHeight="true" outlineLevel="0" collapsed="false">
      <c r="A31" s="2"/>
      <c r="B31" s="23" t="s">
        <v>291</v>
      </c>
      <c r="C31" s="62" t="n">
        <f aca="false">'1. Configure'!D59</f>
        <v>50000</v>
      </c>
      <c r="D31" s="2"/>
      <c r="E31" s="2"/>
      <c r="F31" s="2"/>
      <c r="G31" s="2"/>
      <c r="H31" s="2"/>
      <c r="I31" s="2"/>
    </row>
    <row r="32" customFormat="false" ht="19.5" hidden="false" customHeight="true" outlineLevel="0" collapsed="false">
      <c r="A32" s="2"/>
      <c r="B32" s="25" t="s">
        <v>292</v>
      </c>
      <c r="C32" s="63" t="n">
        <f aca="false">ROUND('1. Configure'!D42*'1. Configure'!D43,0)*'1. Configure'!D52</f>
        <v>25000</v>
      </c>
      <c r="D32" s="2"/>
      <c r="E32" s="2"/>
      <c r="F32" s="2"/>
      <c r="G32" s="2"/>
      <c r="H32" s="2"/>
      <c r="I32" s="2"/>
    </row>
    <row r="33" customFormat="false" ht="19.5" hidden="false" customHeight="true" outlineLevel="0" collapsed="false">
      <c r="A33" s="2"/>
      <c r="B33" s="23" t="s">
        <v>293</v>
      </c>
      <c r="C33" s="62" t="n">
        <f aca="false">ROUND('1. Configure'!D42*'1. Configure'!D44,0)*'1. Configure'!D53</f>
        <v>75000</v>
      </c>
      <c r="D33" s="2"/>
      <c r="E33" s="2"/>
      <c r="F33" s="2"/>
      <c r="G33" s="2"/>
      <c r="H33" s="2"/>
      <c r="I33" s="2"/>
    </row>
    <row r="34" customFormat="false" ht="19.5" hidden="false" customHeight="true" outlineLevel="0" collapsed="false">
      <c r="A34" s="2"/>
      <c r="B34" s="25" t="s">
        <v>294</v>
      </c>
      <c r="C34" s="63" t="n">
        <f aca="false">ROUND('1. Configure'!D42*'1. Configure'!D45,0)*'1. Configure'!D54</f>
        <v>16000</v>
      </c>
      <c r="D34" s="2"/>
      <c r="E34" s="2"/>
      <c r="F34" s="2"/>
      <c r="G34" s="2"/>
      <c r="H34" s="2"/>
      <c r="I34" s="2"/>
    </row>
    <row r="35" customFormat="false" ht="19.5" hidden="false" customHeight="true" outlineLevel="0" collapsed="false">
      <c r="A35" s="2"/>
      <c r="B35" s="23" t="s">
        <v>191</v>
      </c>
      <c r="C35" s="62" t="n">
        <f aca="false">'1. Configure'!D46*'1. Configure'!D55</f>
        <v>60000</v>
      </c>
      <c r="D35" s="2"/>
      <c r="E35" s="2"/>
      <c r="F35" s="2"/>
      <c r="G35" s="2"/>
      <c r="H35" s="2"/>
      <c r="I35" s="2"/>
    </row>
    <row r="36" customFormat="false" ht="19.5" hidden="false" customHeight="true" outlineLevel="0" collapsed="false">
      <c r="A36" s="2"/>
      <c r="B36" s="25" t="s">
        <v>295</v>
      </c>
      <c r="C36" s="63" t="n">
        <f aca="false">'1. Configure'!D49*'1. Configure'!D56</f>
        <v>105000</v>
      </c>
      <c r="D36" s="2"/>
      <c r="E36" s="2"/>
      <c r="F36" s="2"/>
      <c r="G36" s="2"/>
      <c r="H36" s="2"/>
      <c r="I36" s="2"/>
    </row>
    <row r="37" customFormat="false" ht="7.5" hidden="false" customHeight="true" outlineLevel="0" collapsed="false">
      <c r="A37" s="2"/>
      <c r="B37" s="23" t="s">
        <v>296</v>
      </c>
      <c r="C37" s="62" t="n">
        <f aca="false">(C32+C33+C34+C35+C36)*'1. Configure'!D57</f>
        <v>84300</v>
      </c>
      <c r="D37" s="2"/>
      <c r="E37" s="2"/>
      <c r="F37" s="2"/>
      <c r="G37" s="2"/>
      <c r="H37" s="2"/>
      <c r="I37" s="2"/>
    </row>
    <row r="38" customFormat="false" ht="25.5" hidden="false" customHeight="true" outlineLevel="0" collapsed="false">
      <c r="A38" s="2"/>
      <c r="B38" s="25" t="s">
        <v>297</v>
      </c>
      <c r="C38" s="63" t="n">
        <f aca="false">'1. Configure'!D48*(D20/12+D24/12)</f>
        <v>505158.9495925</v>
      </c>
      <c r="D38" s="2"/>
      <c r="E38" s="2"/>
      <c r="F38" s="2"/>
      <c r="G38" s="2"/>
      <c r="H38" s="2"/>
      <c r="I38" s="2"/>
    </row>
    <row r="39" customFormat="false" ht="15" hidden="false" customHeight="true" outlineLevel="0" collapsed="false">
      <c r="A39" s="2"/>
      <c r="B39" s="23" t="s">
        <v>298</v>
      </c>
      <c r="C39" s="62" t="n">
        <f aca="false">'1. Configure'!D47*('1. Configure'!D18*'1. Configure'!D19/12)</f>
        <v>600000</v>
      </c>
      <c r="D39" s="2"/>
      <c r="E39" s="2"/>
      <c r="F39" s="2"/>
      <c r="G39" s="2"/>
      <c r="H39" s="2"/>
      <c r="I39" s="2"/>
    </row>
    <row r="40" customFormat="false" ht="25.5" hidden="false" customHeight="true" outlineLevel="0" collapsed="false">
      <c r="A40" s="2"/>
      <c r="B40" s="25" t="s">
        <v>249</v>
      </c>
      <c r="C40" s="63" t="n">
        <f aca="false">'1. Configure'!D36*'1. Configure'!D61</f>
        <v>8000</v>
      </c>
      <c r="D40" s="2"/>
      <c r="E40" s="2"/>
      <c r="F40" s="2"/>
      <c r="G40" s="2"/>
      <c r="H40" s="2"/>
      <c r="I40" s="2"/>
    </row>
    <row r="41" customFormat="false" ht="21.75" hidden="false" customHeight="true" outlineLevel="0" collapsed="false">
      <c r="A41" s="2"/>
      <c r="B41" s="23" t="s">
        <v>242</v>
      </c>
      <c r="C41" s="62" t="n">
        <f aca="false">'1. Configure'!D60</f>
        <v>25000</v>
      </c>
      <c r="D41" s="2"/>
      <c r="E41" s="2"/>
      <c r="F41" s="2"/>
      <c r="G41" s="2"/>
      <c r="H41" s="2"/>
      <c r="I41" s="2"/>
    </row>
    <row r="42" customFormat="false" ht="19.5" hidden="false" customHeight="true" outlineLevel="0" collapsed="false">
      <c r="A42" s="2"/>
      <c r="B42" s="25" t="s">
        <v>299</v>
      </c>
      <c r="C42" s="63" t="n">
        <f aca="false">SUM(C31:C41)*'1. Configure'!D58</f>
        <v>310691.7899185</v>
      </c>
      <c r="D42" s="2"/>
      <c r="E42" s="2"/>
      <c r="F42" s="2"/>
      <c r="G42" s="2"/>
      <c r="H42" s="2"/>
      <c r="I42" s="2"/>
    </row>
    <row r="43" customFormat="false" ht="19.5" hidden="false" customHeight="true" outlineLevel="0" collapsed="false">
      <c r="A43" s="2"/>
      <c r="B43" s="2"/>
      <c r="C43" s="44"/>
      <c r="D43" s="2"/>
      <c r="E43" s="2"/>
      <c r="F43" s="2"/>
      <c r="G43" s="2"/>
      <c r="H43" s="2"/>
      <c r="I43" s="2"/>
    </row>
    <row r="44" customFormat="false" ht="19.5" hidden="false" customHeight="true" outlineLevel="0" collapsed="false">
      <c r="A44" s="2"/>
      <c r="B44" s="50" t="s">
        <v>300</v>
      </c>
      <c r="C44" s="51" t="n">
        <f aca="false">SUM(C31:C42)</f>
        <v>1864150.739511</v>
      </c>
      <c r="D44" s="64"/>
      <c r="E44" s="64"/>
      <c r="F44" s="64"/>
      <c r="G44" s="64"/>
      <c r="H44" s="64"/>
      <c r="I44" s="2"/>
    </row>
    <row r="45" customFormat="false" ht="19.5" hidden="false" customHeight="true" outlineLevel="0" collapsed="false">
      <c r="A45" s="2"/>
      <c r="B45" s="2"/>
      <c r="C45" s="44"/>
      <c r="D45" s="2"/>
      <c r="E45" s="2"/>
      <c r="F45" s="2"/>
      <c r="G45" s="2"/>
      <c r="H45" s="2"/>
      <c r="I45" s="2"/>
    </row>
    <row r="46" customFormat="false" ht="19.5" hidden="false" customHeight="true" outlineLevel="0" collapsed="false">
      <c r="A46" s="2"/>
      <c r="B46" s="5" t="s">
        <v>301</v>
      </c>
      <c r="C46" s="5"/>
      <c r="D46" s="5"/>
      <c r="E46" s="5"/>
      <c r="F46" s="5"/>
      <c r="G46" s="5"/>
      <c r="H46" s="5"/>
      <c r="I46" s="2"/>
    </row>
    <row r="47" customFormat="false" ht="19.5" hidden="false" customHeight="true" outlineLevel="0" collapsed="false">
      <c r="A47" s="2"/>
      <c r="B47" s="21" t="s">
        <v>302</v>
      </c>
      <c r="C47" s="47" t="s">
        <v>303</v>
      </c>
      <c r="D47" s="22" t="s">
        <v>304</v>
      </c>
      <c r="E47" s="22"/>
      <c r="F47" s="22"/>
      <c r="G47" s="22"/>
      <c r="H47" s="22"/>
      <c r="I47" s="2"/>
    </row>
    <row r="48" customFormat="false" ht="19.5" hidden="false" customHeight="true" outlineLevel="0" collapsed="false">
      <c r="A48" s="2"/>
      <c r="B48" s="23" t="s">
        <v>7</v>
      </c>
      <c r="C48" s="57" t="n">
        <f aca="false">C44</f>
        <v>1864150.739511</v>
      </c>
      <c r="D48" s="65" t="s">
        <v>305</v>
      </c>
      <c r="E48" s="65"/>
      <c r="F48" s="65"/>
      <c r="G48" s="65"/>
      <c r="H48" s="65"/>
      <c r="I48" s="2"/>
    </row>
    <row r="49" customFormat="false" ht="19.5" hidden="false" customHeight="true" outlineLevel="0" collapsed="false">
      <c r="A49" s="2"/>
      <c r="B49" s="25" t="s">
        <v>306</v>
      </c>
      <c r="C49" s="59" t="n">
        <f aca="false">D26</f>
        <v>606044.201629998</v>
      </c>
      <c r="D49" s="66" t="s">
        <v>307</v>
      </c>
      <c r="E49" s="66"/>
      <c r="F49" s="66"/>
      <c r="G49" s="66"/>
      <c r="H49" s="66"/>
      <c r="I49" s="2"/>
    </row>
    <row r="50" customFormat="false" ht="15" hidden="false" customHeight="true" outlineLevel="0" collapsed="false">
      <c r="A50" s="2"/>
      <c r="B50" s="23" t="s">
        <v>308</v>
      </c>
      <c r="C50" s="67" t="n">
        <f aca="false">IF(D20&gt;0,D26/D20,0)</f>
        <v>0.46145263346125</v>
      </c>
      <c r="D50" s="65" t="s">
        <v>309</v>
      </c>
      <c r="E50" s="65"/>
      <c r="F50" s="65"/>
      <c r="G50" s="65"/>
      <c r="H50" s="65"/>
      <c r="I50" s="2"/>
    </row>
    <row r="51" customFormat="false" ht="15" hidden="false" customHeight="true" outlineLevel="0" collapsed="false">
      <c r="A51" s="2"/>
      <c r="B51" s="25" t="s">
        <v>269</v>
      </c>
      <c r="C51" s="68" t="n">
        <f aca="false">IF(D26&gt;0,C44/D26*12,0)</f>
        <v>36.9111837287888</v>
      </c>
      <c r="D51" s="66" t="s">
        <v>310</v>
      </c>
      <c r="E51" s="66"/>
      <c r="F51" s="66"/>
      <c r="G51" s="66"/>
      <c r="H51" s="66"/>
      <c r="I51" s="2"/>
    </row>
    <row r="52" customFormat="false" ht="15" hidden="false" customHeight="true" outlineLevel="0" collapsed="false">
      <c r="A52" s="2"/>
      <c r="B52" s="23" t="s">
        <v>270</v>
      </c>
      <c r="C52" s="57" t="n">
        <f aca="false">NPV('1. Configure'!D65,D26:H26)</f>
        <v>2131806.63925197</v>
      </c>
      <c r="D52" s="65" t="s">
        <v>311</v>
      </c>
      <c r="E52" s="65"/>
      <c r="F52" s="65"/>
      <c r="G52" s="65"/>
      <c r="H52" s="65"/>
      <c r="I52" s="2"/>
    </row>
    <row r="53" customFormat="false" ht="15" hidden="false" customHeight="true" outlineLevel="0" collapsed="false">
      <c r="A53" s="2"/>
      <c r="B53" s="25" t="s">
        <v>312</v>
      </c>
      <c r="C53" s="59" t="n">
        <f aca="false">SUM(D26:H26)</f>
        <v>2634561.73895272</v>
      </c>
      <c r="D53" s="66" t="s">
        <v>313</v>
      </c>
      <c r="E53" s="66"/>
      <c r="F53" s="66"/>
      <c r="G53" s="66"/>
      <c r="H53" s="66"/>
      <c r="I53" s="2"/>
    </row>
    <row r="54" customFormat="false" ht="15" hidden="false" customHeight="true" outlineLevel="0" collapsed="false">
      <c r="A54" s="2"/>
      <c r="B54" s="23" t="s">
        <v>314</v>
      </c>
      <c r="C54" s="67" t="n">
        <f aca="false">IF(C44&gt;0,(SUM(D26:H26)-C44)/C44,0)</f>
        <v>0.413277200771764</v>
      </c>
      <c r="D54" s="65" t="s">
        <v>315</v>
      </c>
      <c r="E54" s="65"/>
      <c r="F54" s="65"/>
      <c r="G54" s="65"/>
      <c r="H54" s="65"/>
      <c r="I54" s="2"/>
    </row>
    <row r="55" customFormat="false" ht="15" hidden="false" customHeight="true" outlineLevel="0" collapsed="false">
      <c r="A55" s="2"/>
      <c r="B55" s="25" t="s">
        <v>316</v>
      </c>
      <c r="C55" s="69" t="n">
        <f aca="false">IRR(C56:H56)</f>
        <v>0.136518479132915</v>
      </c>
      <c r="D55" s="66" t="s">
        <v>317</v>
      </c>
      <c r="E55" s="66"/>
      <c r="F55" s="66"/>
      <c r="G55" s="66"/>
      <c r="H55" s="66"/>
      <c r="I55" s="2"/>
    </row>
    <row r="56" customFormat="false" ht="15" hidden="false" customHeight="true" outlineLevel="0" collapsed="false">
      <c r="A56" s="2"/>
      <c r="B56" s="70" t="s">
        <v>318</v>
      </c>
      <c r="C56" s="71" t="n">
        <f aca="false">-C44</f>
        <v>-1864150.739511</v>
      </c>
      <c r="D56" s="72" t="n">
        <f aca="false">D26</f>
        <v>606044.201629998</v>
      </c>
      <c r="E56" s="72" t="n">
        <f aca="false">E26</f>
        <v>578750.231874498</v>
      </c>
      <c r="F56" s="72" t="n">
        <f aca="false">F26</f>
        <v>540270.130655673</v>
      </c>
      <c r="G56" s="72" t="n">
        <f aca="false">G26</f>
        <v>488500.456094024</v>
      </c>
      <c r="H56" s="72" t="n">
        <f aca="false">H26</f>
        <v>420996.718698528</v>
      </c>
      <c r="I56" s="2"/>
    </row>
    <row r="57" customFormat="false" ht="15" hidden="false" customHeight="true" outlineLevel="0" collapsed="false">
      <c r="A57" s="2"/>
      <c r="B57" s="2"/>
      <c r="C57" s="44"/>
      <c r="D57" s="2"/>
      <c r="E57" s="2"/>
      <c r="F57" s="2"/>
      <c r="G57" s="2"/>
      <c r="H57" s="2"/>
      <c r="I57" s="2"/>
    </row>
    <row r="58" customFormat="false" ht="15" hidden="false" customHeight="true" outlineLevel="0" collapsed="false">
      <c r="A58" s="2"/>
      <c r="B58" s="2"/>
      <c r="C58" s="44"/>
      <c r="D58" s="2"/>
      <c r="E58" s="2"/>
      <c r="F58" s="2"/>
      <c r="G58" s="2"/>
      <c r="H58" s="2"/>
      <c r="I58" s="2"/>
    </row>
    <row r="59" customFormat="false" ht="15" hidden="false" customHeight="true" outlineLevel="0" collapsed="false">
      <c r="A59" s="2"/>
      <c r="B59" s="2"/>
      <c r="C59" s="44"/>
      <c r="D59" s="2"/>
      <c r="E59" s="2"/>
      <c r="F59" s="2"/>
      <c r="G59" s="2"/>
      <c r="H59" s="2"/>
      <c r="I59" s="2"/>
    </row>
    <row r="60" customFormat="false" ht="15" hidden="false" customHeight="true" outlineLevel="0" collapsed="false">
      <c r="A60" s="2"/>
      <c r="B60" s="2"/>
      <c r="C60" s="44"/>
      <c r="D60" s="2"/>
      <c r="E60" s="2"/>
      <c r="F60" s="2"/>
      <c r="G60" s="2"/>
      <c r="H60" s="2"/>
      <c r="I60" s="2"/>
    </row>
    <row r="61" customFormat="false" ht="15" hidden="false" customHeight="true" outlineLevel="0" collapsed="false">
      <c r="A61" s="2"/>
      <c r="B61" s="2"/>
      <c r="C61" s="44"/>
      <c r="D61" s="2"/>
      <c r="E61" s="2"/>
      <c r="F61" s="2"/>
      <c r="G61" s="2"/>
      <c r="H61" s="2"/>
      <c r="I61" s="2"/>
    </row>
    <row r="62" customFormat="false" ht="15" hidden="false" customHeight="true" outlineLevel="0" collapsed="false">
      <c r="A62" s="2"/>
      <c r="B62" s="2"/>
      <c r="C62" s="44"/>
      <c r="D62" s="2"/>
      <c r="E62" s="2"/>
      <c r="F62" s="2"/>
      <c r="G62" s="2"/>
      <c r="H62" s="2"/>
      <c r="I62" s="2"/>
    </row>
    <row r="63" customFormat="false" ht="15" hidden="false" customHeight="true" outlineLevel="0" collapsed="false">
      <c r="A63" s="2"/>
      <c r="B63" s="2"/>
      <c r="C63" s="44"/>
      <c r="D63" s="2"/>
      <c r="E63" s="2"/>
      <c r="F63" s="2"/>
      <c r="G63" s="2"/>
      <c r="H63" s="2"/>
      <c r="I63" s="2"/>
    </row>
    <row r="64" customFormat="false" ht="15" hidden="false" customHeight="true" outlineLevel="0" collapsed="false">
      <c r="A64" s="2"/>
      <c r="B64" s="2"/>
      <c r="C64" s="44"/>
      <c r="D64" s="2"/>
      <c r="E64" s="2"/>
      <c r="F64" s="2"/>
      <c r="G64" s="2"/>
      <c r="H64" s="2"/>
      <c r="I64" s="2"/>
    </row>
    <row r="65" customFormat="false" ht="15" hidden="false" customHeight="true" outlineLevel="0" collapsed="false">
      <c r="A65" s="2"/>
      <c r="B65" s="2"/>
      <c r="C65" s="44"/>
      <c r="D65" s="2"/>
      <c r="E65" s="2"/>
      <c r="F65" s="2"/>
      <c r="G65" s="2"/>
      <c r="H65" s="2"/>
      <c r="I65" s="2"/>
    </row>
    <row r="66" customFormat="false" ht="15" hidden="false" customHeight="true" outlineLevel="0" collapsed="false">
      <c r="A66" s="2"/>
      <c r="B66" s="2"/>
      <c r="C66" s="44"/>
      <c r="D66" s="2"/>
      <c r="E66" s="2"/>
      <c r="F66" s="2"/>
      <c r="G66" s="2"/>
      <c r="H66" s="2"/>
      <c r="I66" s="2"/>
    </row>
    <row r="67" customFormat="false" ht="15" hidden="false" customHeight="true" outlineLevel="0" collapsed="false">
      <c r="A67" s="2"/>
      <c r="B67" s="2"/>
      <c r="C67" s="44"/>
      <c r="D67" s="2"/>
      <c r="E67" s="2"/>
      <c r="F67" s="2"/>
      <c r="G67" s="2"/>
      <c r="H67" s="2"/>
      <c r="I67" s="2"/>
    </row>
    <row r="68" customFormat="false" ht="15" hidden="false" customHeight="true" outlineLevel="0" collapsed="false">
      <c r="A68" s="2"/>
      <c r="B68" s="2"/>
      <c r="C68" s="44"/>
      <c r="D68" s="2"/>
      <c r="E68" s="2"/>
      <c r="F68" s="2"/>
      <c r="G68" s="2"/>
      <c r="H68" s="2"/>
      <c r="I68" s="2"/>
    </row>
    <row r="69" customFormat="false" ht="15" hidden="false" customHeight="true" outlineLevel="0" collapsed="false">
      <c r="A69" s="2"/>
      <c r="B69" s="2"/>
      <c r="C69" s="44"/>
      <c r="D69" s="2"/>
      <c r="E69" s="2"/>
      <c r="F69" s="2"/>
      <c r="G69" s="2"/>
      <c r="H69" s="2"/>
      <c r="I69" s="2"/>
    </row>
    <row r="70" customFormat="false" ht="15" hidden="false" customHeight="true" outlineLevel="0" collapsed="false">
      <c r="A70" s="2"/>
      <c r="B70" s="2"/>
      <c r="C70" s="44"/>
      <c r="D70" s="2"/>
      <c r="E70" s="2"/>
      <c r="F70" s="2"/>
      <c r="G70" s="2"/>
      <c r="H70" s="2"/>
      <c r="I70" s="2"/>
    </row>
    <row r="71" customFormat="false" ht="15" hidden="false" customHeight="true" outlineLevel="0" collapsed="false">
      <c r="A71" s="2"/>
      <c r="B71" s="2"/>
      <c r="C71" s="44"/>
      <c r="D71" s="2"/>
      <c r="E71" s="2"/>
      <c r="F71" s="2"/>
      <c r="G71" s="2"/>
      <c r="H71" s="2"/>
      <c r="I71" s="2"/>
    </row>
    <row r="72" customFormat="false" ht="15" hidden="false" customHeight="true" outlineLevel="0" collapsed="false">
      <c r="A72" s="2"/>
      <c r="B72" s="2"/>
      <c r="C72" s="44"/>
      <c r="D72" s="2"/>
      <c r="E72" s="2"/>
      <c r="F72" s="2"/>
      <c r="G72" s="2"/>
      <c r="H72" s="2"/>
      <c r="I72" s="2"/>
    </row>
    <row r="73" customFormat="false" ht="15" hidden="false" customHeight="true" outlineLevel="0" collapsed="false">
      <c r="A73" s="2"/>
      <c r="B73" s="2"/>
      <c r="C73" s="44"/>
      <c r="D73" s="2"/>
      <c r="E73" s="2"/>
      <c r="F73" s="2"/>
      <c r="G73" s="2"/>
      <c r="H73" s="2"/>
      <c r="I73" s="2"/>
    </row>
    <row r="74" customFormat="false" ht="15" hidden="false" customHeight="true" outlineLevel="0" collapsed="false">
      <c r="A74" s="2"/>
      <c r="B74" s="2"/>
      <c r="C74" s="44"/>
      <c r="D74" s="2"/>
      <c r="E74" s="2"/>
      <c r="F74" s="2"/>
      <c r="G74" s="2"/>
      <c r="H74" s="2"/>
      <c r="I74" s="2"/>
    </row>
    <row r="75" customFormat="false" ht="15" hidden="false" customHeight="true" outlineLevel="0" collapsed="false">
      <c r="A75" s="2"/>
      <c r="B75" s="2"/>
      <c r="C75" s="44"/>
      <c r="D75" s="2"/>
      <c r="E75" s="2"/>
      <c r="F75" s="2"/>
      <c r="G75" s="2"/>
      <c r="H75" s="2"/>
      <c r="I75" s="2"/>
    </row>
    <row r="76" customFormat="false" ht="15" hidden="false" customHeight="true" outlineLevel="0" collapsed="false">
      <c r="A76" s="2"/>
      <c r="B76" s="2"/>
      <c r="C76" s="44"/>
      <c r="D76" s="2"/>
      <c r="E76" s="2"/>
      <c r="F76" s="2"/>
      <c r="G76" s="2"/>
      <c r="H76" s="2"/>
      <c r="I76" s="2"/>
    </row>
    <row r="77" customFormat="false" ht="15" hidden="false" customHeight="true" outlineLevel="0" collapsed="false">
      <c r="A77" s="2"/>
      <c r="B77" s="2"/>
      <c r="C77" s="44"/>
      <c r="D77" s="2"/>
      <c r="E77" s="2"/>
      <c r="F77" s="2"/>
      <c r="G77" s="2"/>
      <c r="H77" s="2"/>
      <c r="I77" s="2"/>
    </row>
    <row r="78" customFormat="false" ht="15" hidden="false" customHeight="true" outlineLevel="0" collapsed="false">
      <c r="A78" s="2"/>
      <c r="B78" s="2"/>
      <c r="C78" s="44"/>
      <c r="D78" s="2"/>
      <c r="E78" s="2"/>
      <c r="F78" s="2"/>
      <c r="G78" s="2"/>
      <c r="H78" s="2"/>
      <c r="I78" s="2"/>
    </row>
    <row r="79" customFormat="false" ht="15" hidden="false" customHeight="true" outlineLevel="0" collapsed="false">
      <c r="A79" s="2"/>
      <c r="B79" s="2"/>
      <c r="C79" s="44"/>
      <c r="D79" s="2"/>
      <c r="E79" s="2"/>
      <c r="F79" s="2"/>
      <c r="G79" s="2"/>
      <c r="H79" s="2"/>
      <c r="I79" s="2"/>
    </row>
    <row r="80" customFormat="false" ht="15" hidden="false" customHeight="true" outlineLevel="0" collapsed="false">
      <c r="A80" s="2"/>
      <c r="B80" s="2"/>
      <c r="C80" s="44"/>
      <c r="D80" s="2"/>
      <c r="E80" s="2"/>
      <c r="F80" s="2"/>
      <c r="G80" s="2"/>
      <c r="H80" s="2"/>
      <c r="I80" s="2"/>
    </row>
    <row r="81" customFormat="false" ht="15" hidden="false" customHeight="true" outlineLevel="0" collapsed="false">
      <c r="A81" s="2"/>
      <c r="B81" s="2"/>
      <c r="C81" s="44"/>
      <c r="D81" s="2"/>
      <c r="E81" s="2"/>
      <c r="F81" s="2"/>
      <c r="G81" s="2"/>
      <c r="H81" s="2"/>
      <c r="I81" s="2"/>
    </row>
    <row r="82" customFormat="false" ht="15" hidden="false" customHeight="true" outlineLevel="0" collapsed="false">
      <c r="A82" s="2"/>
      <c r="B82" s="2"/>
      <c r="C82" s="44"/>
      <c r="D82" s="2"/>
      <c r="E82" s="2"/>
      <c r="F82" s="2"/>
      <c r="G82" s="2"/>
      <c r="H82" s="2"/>
      <c r="I82" s="2"/>
    </row>
    <row r="83" customFormat="false" ht="15" hidden="false" customHeight="true" outlineLevel="0" collapsed="false">
      <c r="A83" s="2"/>
      <c r="B83" s="2"/>
      <c r="C83" s="44"/>
      <c r="D83" s="2"/>
      <c r="E83" s="2"/>
      <c r="F83" s="2"/>
      <c r="G83" s="2"/>
      <c r="H83" s="2"/>
      <c r="I83" s="2"/>
    </row>
    <row r="84" customFormat="false" ht="15" hidden="false" customHeight="true" outlineLevel="0" collapsed="false">
      <c r="A84" s="2"/>
      <c r="B84" s="2"/>
      <c r="C84" s="44"/>
      <c r="D84" s="2"/>
      <c r="E84" s="2"/>
      <c r="F84" s="2"/>
      <c r="G84" s="2"/>
      <c r="H84" s="2"/>
      <c r="I84" s="2"/>
    </row>
    <row r="85" customFormat="false" ht="15" hidden="false" customHeight="true" outlineLevel="0" collapsed="false">
      <c r="A85" s="2"/>
      <c r="B85" s="2"/>
      <c r="C85" s="44"/>
      <c r="D85" s="2"/>
      <c r="E85" s="2"/>
      <c r="F85" s="2"/>
      <c r="G85" s="2"/>
      <c r="H85" s="2"/>
      <c r="I85" s="2"/>
    </row>
    <row r="86" customFormat="false" ht="15" hidden="false" customHeight="true" outlineLevel="0" collapsed="false">
      <c r="A86" s="2"/>
      <c r="B86" s="2"/>
      <c r="C86" s="44"/>
      <c r="D86" s="2"/>
      <c r="E86" s="2"/>
      <c r="F86" s="2"/>
      <c r="G86" s="2"/>
      <c r="H86" s="2"/>
      <c r="I86" s="2"/>
    </row>
    <row r="87" customFormat="false" ht="15" hidden="false" customHeight="true" outlineLevel="0" collapsed="false">
      <c r="A87" s="2"/>
      <c r="B87" s="2"/>
      <c r="C87" s="44"/>
      <c r="D87" s="2"/>
      <c r="E87" s="2"/>
      <c r="F87" s="2"/>
      <c r="G87" s="2"/>
      <c r="H87" s="2"/>
      <c r="I87" s="2"/>
    </row>
    <row r="88" customFormat="false" ht="15" hidden="false" customHeight="true" outlineLevel="0" collapsed="false">
      <c r="A88" s="2"/>
      <c r="B88" s="2"/>
      <c r="C88" s="44"/>
      <c r="D88" s="2"/>
      <c r="E88" s="2"/>
      <c r="F88" s="2"/>
      <c r="G88" s="2"/>
      <c r="H88" s="2"/>
      <c r="I88" s="2"/>
    </row>
    <row r="89" customFormat="false" ht="15" hidden="false" customHeight="true" outlineLevel="0" collapsed="false">
      <c r="A89" s="2"/>
      <c r="B89" s="2"/>
      <c r="C89" s="44"/>
      <c r="D89" s="2"/>
      <c r="E89" s="2"/>
      <c r="F89" s="2"/>
      <c r="G89" s="2"/>
      <c r="H89" s="2"/>
      <c r="I89" s="2"/>
    </row>
    <row r="90" customFormat="false" ht="15" hidden="false" customHeight="true" outlineLevel="0" collapsed="false">
      <c r="A90" s="2"/>
      <c r="B90" s="2"/>
      <c r="C90" s="44"/>
      <c r="D90" s="2"/>
      <c r="E90" s="2"/>
      <c r="F90" s="2"/>
      <c r="G90" s="2"/>
      <c r="H90" s="2"/>
      <c r="I90" s="2"/>
    </row>
    <row r="91" customFormat="false" ht="15" hidden="false" customHeight="true" outlineLevel="0" collapsed="false">
      <c r="A91" s="2"/>
      <c r="B91" s="2"/>
      <c r="C91" s="44"/>
      <c r="D91" s="2"/>
      <c r="E91" s="2"/>
      <c r="F91" s="2"/>
      <c r="G91" s="2"/>
      <c r="H91" s="2"/>
      <c r="I91" s="2"/>
    </row>
    <row r="92" customFormat="false" ht="15" hidden="false" customHeight="true" outlineLevel="0" collapsed="false">
      <c r="A92" s="2"/>
      <c r="B92" s="2"/>
      <c r="C92" s="44"/>
      <c r="D92" s="2"/>
      <c r="E92" s="2"/>
      <c r="F92" s="2"/>
      <c r="G92" s="2"/>
      <c r="H92" s="2"/>
      <c r="I92" s="2"/>
    </row>
    <row r="93" customFormat="false" ht="15" hidden="false" customHeight="true" outlineLevel="0" collapsed="false">
      <c r="A93" s="2"/>
      <c r="B93" s="2"/>
      <c r="C93" s="44"/>
      <c r="D93" s="2"/>
      <c r="E93" s="2"/>
      <c r="F93" s="2"/>
      <c r="G93" s="2"/>
      <c r="H93" s="2"/>
      <c r="I93" s="2"/>
    </row>
    <row r="94" customFormat="false" ht="15" hidden="false" customHeight="true" outlineLevel="0" collapsed="false">
      <c r="A94" s="2"/>
      <c r="B94" s="2"/>
      <c r="C94" s="44"/>
      <c r="D94" s="2"/>
      <c r="E94" s="2"/>
      <c r="F94" s="2"/>
      <c r="G94" s="2"/>
      <c r="H94" s="2"/>
      <c r="I94" s="2"/>
    </row>
    <row r="95" customFormat="false" ht="15" hidden="false" customHeight="true" outlineLevel="0" collapsed="false">
      <c r="A95" s="2"/>
      <c r="B95" s="2"/>
      <c r="C95" s="44"/>
      <c r="D95" s="2"/>
      <c r="E95" s="2"/>
      <c r="F95" s="2"/>
      <c r="G95" s="2"/>
      <c r="H95" s="2"/>
      <c r="I95" s="2"/>
    </row>
    <row r="96" customFormat="false" ht="15" hidden="false" customHeight="true" outlineLevel="0" collapsed="false">
      <c r="A96" s="2"/>
      <c r="B96" s="2"/>
      <c r="C96" s="44"/>
      <c r="D96" s="2"/>
      <c r="E96" s="2"/>
      <c r="F96" s="2"/>
      <c r="G96" s="2"/>
      <c r="H96" s="2"/>
      <c r="I96" s="2"/>
    </row>
    <row r="97" customFormat="false" ht="15" hidden="false" customHeight="true" outlineLevel="0" collapsed="false">
      <c r="A97" s="2"/>
      <c r="B97" s="2"/>
      <c r="C97" s="44"/>
      <c r="D97" s="2"/>
      <c r="E97" s="2"/>
      <c r="F97" s="2"/>
      <c r="G97" s="2"/>
      <c r="H97" s="2"/>
      <c r="I97" s="2"/>
    </row>
    <row r="98" customFormat="false" ht="15" hidden="false" customHeight="true" outlineLevel="0" collapsed="false">
      <c r="A98" s="2"/>
      <c r="B98" s="2"/>
      <c r="C98" s="44"/>
      <c r="D98" s="2"/>
      <c r="E98" s="2"/>
      <c r="F98" s="2"/>
      <c r="G98" s="2"/>
      <c r="H98" s="2"/>
      <c r="I98" s="2"/>
    </row>
    <row r="99" customFormat="false" ht="15" hidden="false" customHeight="true" outlineLevel="0" collapsed="false">
      <c r="A99" s="2"/>
      <c r="B99" s="2"/>
      <c r="C99" s="44"/>
      <c r="D99" s="2"/>
      <c r="E99" s="2"/>
      <c r="F99" s="2"/>
      <c r="G99" s="2"/>
      <c r="H99" s="2"/>
      <c r="I99" s="2"/>
    </row>
    <row r="100" customFormat="false" ht="7.5" hidden="false" customHeight="true" outlineLevel="0" collapsed="false">
      <c r="A100" s="2"/>
      <c r="B100" s="2"/>
      <c r="C100" s="44"/>
      <c r="D100" s="2"/>
      <c r="E100" s="2"/>
      <c r="F100" s="2"/>
      <c r="G100" s="2"/>
      <c r="H100" s="2"/>
      <c r="I100" s="2"/>
    </row>
    <row r="101" customFormat="false" ht="15" hidden="false" customHeight="true" outlineLevel="0" collapsed="false">
      <c r="A101" s="2"/>
      <c r="B101" s="2"/>
      <c r="C101" s="44"/>
      <c r="D101" s="2"/>
      <c r="E101" s="2"/>
      <c r="F101" s="2"/>
      <c r="G101" s="2"/>
      <c r="H101" s="2"/>
      <c r="I101" s="2"/>
    </row>
    <row r="102" customFormat="false" ht="15" hidden="false" customHeight="true" outlineLevel="0" collapsed="false">
      <c r="A102" s="2"/>
      <c r="B102" s="2"/>
      <c r="C102" s="44"/>
      <c r="D102" s="2"/>
      <c r="E102" s="2"/>
      <c r="F102" s="2"/>
      <c r="G102" s="2"/>
      <c r="H102" s="2"/>
      <c r="I102" s="2"/>
    </row>
    <row r="103" customFormat="false" ht="15" hidden="false" customHeight="true" outlineLevel="0" collapsed="false">
      <c r="A103" s="2"/>
      <c r="B103" s="2"/>
      <c r="C103" s="44"/>
      <c r="D103" s="2"/>
      <c r="E103" s="2"/>
      <c r="F103" s="2"/>
      <c r="G103" s="2"/>
      <c r="H103" s="2"/>
      <c r="I103" s="2"/>
    </row>
    <row r="104" customFormat="false" ht="15" hidden="false" customHeight="true" outlineLevel="0" collapsed="false">
      <c r="A104" s="2"/>
      <c r="B104" s="2"/>
      <c r="C104" s="44"/>
      <c r="D104" s="2"/>
      <c r="E104" s="2"/>
      <c r="F104" s="2"/>
      <c r="G104" s="2"/>
      <c r="H104" s="2"/>
      <c r="I104" s="2"/>
    </row>
    <row r="105" customFormat="false" ht="15" hidden="false" customHeight="true" outlineLevel="0" collapsed="false">
      <c r="A105" s="2"/>
      <c r="B105" s="2"/>
      <c r="C105" s="44"/>
      <c r="D105" s="2"/>
      <c r="E105" s="2"/>
      <c r="F105" s="2"/>
      <c r="G105" s="2"/>
      <c r="H105" s="2"/>
      <c r="I105" s="2"/>
    </row>
    <row r="106" customFormat="false" ht="15" hidden="false" customHeight="true" outlineLevel="0" collapsed="false">
      <c r="A106" s="2"/>
      <c r="B106" s="2"/>
      <c r="C106" s="44"/>
      <c r="D106" s="2"/>
      <c r="E106" s="2"/>
      <c r="F106" s="2"/>
      <c r="G106" s="2"/>
      <c r="H106" s="2"/>
      <c r="I106" s="2"/>
    </row>
    <row r="107" customFormat="false" ht="15" hidden="false" customHeight="true" outlineLevel="0" collapsed="false">
      <c r="A107" s="2"/>
      <c r="B107" s="2"/>
      <c r="C107" s="44"/>
      <c r="D107" s="2"/>
      <c r="E107" s="2"/>
      <c r="F107" s="2"/>
      <c r="G107" s="2"/>
      <c r="H107" s="2"/>
      <c r="I107" s="2"/>
    </row>
    <row r="108" customFormat="false" ht="15" hidden="false" customHeight="true" outlineLevel="0" collapsed="false">
      <c r="A108" s="2"/>
      <c r="B108" s="2"/>
      <c r="C108" s="44"/>
      <c r="D108" s="2"/>
      <c r="E108" s="2"/>
      <c r="F108" s="2"/>
      <c r="G108" s="2"/>
      <c r="H108" s="2"/>
      <c r="I108" s="2"/>
    </row>
    <row r="109" customFormat="false" ht="15" hidden="false" customHeight="true" outlineLevel="0" collapsed="false">
      <c r="A109" s="2"/>
      <c r="B109" s="2"/>
      <c r="C109" s="44"/>
      <c r="D109" s="2"/>
      <c r="E109" s="2"/>
      <c r="F109" s="2"/>
      <c r="G109" s="2"/>
      <c r="H109" s="2"/>
      <c r="I109" s="2"/>
    </row>
    <row r="110" customFormat="false" ht="15" hidden="false" customHeight="true" outlineLevel="0" collapsed="false">
      <c r="A110" s="2"/>
      <c r="B110" s="2"/>
      <c r="C110" s="44"/>
      <c r="D110" s="2"/>
      <c r="E110" s="2"/>
      <c r="F110" s="2"/>
      <c r="G110" s="2"/>
      <c r="H110" s="2"/>
      <c r="I110" s="2"/>
    </row>
    <row r="111" customFormat="false" ht="15" hidden="false" customHeight="true" outlineLevel="0" collapsed="false">
      <c r="A111" s="2"/>
      <c r="B111" s="2"/>
      <c r="C111" s="44"/>
      <c r="D111" s="2"/>
      <c r="E111" s="2"/>
      <c r="F111" s="2"/>
      <c r="G111" s="2"/>
      <c r="H111" s="2"/>
      <c r="I111" s="2"/>
    </row>
    <row r="112" customFormat="false" ht="15" hidden="false" customHeight="true" outlineLevel="0" collapsed="false">
      <c r="A112" s="2"/>
      <c r="B112" s="2"/>
      <c r="C112" s="44"/>
      <c r="D112" s="2"/>
      <c r="E112" s="2"/>
      <c r="F112" s="2"/>
      <c r="G112" s="2"/>
      <c r="H112" s="2"/>
      <c r="I112" s="2"/>
    </row>
    <row r="113" customFormat="false" ht="15" hidden="false" customHeight="true" outlineLevel="0" collapsed="false">
      <c r="A113" s="2"/>
      <c r="B113" s="2"/>
      <c r="C113" s="44"/>
      <c r="D113" s="2"/>
      <c r="E113" s="2"/>
      <c r="F113" s="2"/>
      <c r="G113" s="2"/>
      <c r="H113" s="2"/>
      <c r="I113" s="2"/>
    </row>
    <row r="114" customFormat="false" ht="15" hidden="false" customHeight="true" outlineLevel="0" collapsed="false">
      <c r="A114" s="2"/>
      <c r="B114" s="2"/>
      <c r="C114" s="44"/>
      <c r="D114" s="2"/>
      <c r="E114" s="2"/>
      <c r="F114" s="2"/>
      <c r="G114" s="2"/>
      <c r="H114" s="2"/>
      <c r="I114" s="2"/>
    </row>
    <row r="115" customFormat="false" ht="15" hidden="false" customHeight="true" outlineLevel="0" collapsed="false">
      <c r="A115" s="2"/>
      <c r="B115" s="2"/>
      <c r="C115" s="44"/>
      <c r="D115" s="2"/>
      <c r="E115" s="2"/>
      <c r="F115" s="2"/>
      <c r="G115" s="2"/>
      <c r="H115" s="2"/>
      <c r="I115" s="2"/>
    </row>
    <row r="116" customFormat="false" ht="15" hidden="false" customHeight="true" outlineLevel="0" collapsed="false">
      <c r="A116" s="2"/>
      <c r="B116" s="2"/>
      <c r="C116" s="44"/>
      <c r="D116" s="2"/>
      <c r="E116" s="2"/>
      <c r="F116" s="2"/>
      <c r="G116" s="2"/>
      <c r="H116" s="2"/>
      <c r="I116" s="2"/>
    </row>
    <row r="117" customFormat="false" ht="15" hidden="false" customHeight="true" outlineLevel="0" collapsed="false">
      <c r="A117" s="2"/>
      <c r="B117" s="2"/>
      <c r="C117" s="44"/>
      <c r="D117" s="2"/>
      <c r="E117" s="2"/>
      <c r="F117" s="2"/>
      <c r="G117" s="2"/>
      <c r="H117" s="2"/>
      <c r="I117" s="2"/>
    </row>
    <row r="118" customFormat="false" ht="15" hidden="false" customHeight="true" outlineLevel="0" collapsed="false">
      <c r="A118" s="2"/>
      <c r="B118" s="2"/>
      <c r="C118" s="44"/>
      <c r="D118" s="2"/>
      <c r="E118" s="2"/>
      <c r="F118" s="2"/>
      <c r="G118" s="2"/>
      <c r="H118" s="2"/>
      <c r="I118" s="2"/>
    </row>
    <row r="119" customFormat="false" ht="15" hidden="false" customHeight="true" outlineLevel="0" collapsed="false">
      <c r="A119" s="2"/>
      <c r="B119" s="2"/>
      <c r="C119" s="44"/>
      <c r="D119" s="2"/>
      <c r="E119" s="2"/>
      <c r="F119" s="2"/>
      <c r="G119" s="2"/>
      <c r="H119" s="2"/>
      <c r="I119" s="2"/>
    </row>
    <row r="120" customFormat="false" ht="15" hidden="false" customHeight="true" outlineLevel="0" collapsed="false">
      <c r="A120" s="2"/>
      <c r="B120" s="2"/>
      <c r="C120" s="44"/>
      <c r="D120" s="2"/>
      <c r="E120" s="2"/>
      <c r="F120" s="2"/>
      <c r="G120" s="2"/>
      <c r="H120" s="2"/>
      <c r="I120" s="2"/>
    </row>
    <row r="121" customFormat="false" ht="15" hidden="false" customHeight="true" outlineLevel="0" collapsed="false">
      <c r="A121" s="2"/>
      <c r="B121" s="2"/>
      <c r="C121" s="44"/>
      <c r="D121" s="2"/>
      <c r="E121" s="2"/>
      <c r="F121" s="2"/>
      <c r="G121" s="2"/>
      <c r="H121" s="2"/>
      <c r="I121" s="2"/>
    </row>
    <row r="122" customFormat="false" ht="15" hidden="false" customHeight="true" outlineLevel="0" collapsed="false">
      <c r="A122" s="2"/>
      <c r="B122" s="2"/>
      <c r="C122" s="44"/>
      <c r="D122" s="2"/>
      <c r="E122" s="2"/>
      <c r="F122" s="2"/>
      <c r="G122" s="2"/>
      <c r="H122" s="2"/>
      <c r="I122" s="2"/>
    </row>
    <row r="123" customFormat="false" ht="15" hidden="false" customHeight="true" outlineLevel="0" collapsed="false">
      <c r="A123" s="2"/>
      <c r="B123" s="2"/>
      <c r="C123" s="44"/>
      <c r="D123" s="2"/>
      <c r="E123" s="2"/>
      <c r="F123" s="2"/>
      <c r="G123" s="2"/>
      <c r="H123" s="2"/>
      <c r="I123" s="2"/>
    </row>
    <row r="124" customFormat="false" ht="15" hidden="false" customHeight="true" outlineLevel="0" collapsed="false">
      <c r="A124" s="2"/>
      <c r="B124" s="2"/>
      <c r="C124" s="44"/>
      <c r="D124" s="2"/>
      <c r="E124" s="2"/>
      <c r="F124" s="2"/>
      <c r="G124" s="2"/>
      <c r="H124" s="2"/>
      <c r="I124" s="2"/>
    </row>
    <row r="125" customFormat="false" ht="15" hidden="false" customHeight="false" outlineLevel="0" collapsed="false">
      <c r="A125" s="2"/>
      <c r="B125" s="2"/>
      <c r="C125" s="44"/>
      <c r="D125" s="2"/>
      <c r="E125" s="2"/>
      <c r="F125" s="2"/>
      <c r="G125" s="2"/>
      <c r="H125" s="2"/>
      <c r="I125" s="2"/>
    </row>
    <row r="126" customFormat="false" ht="15" hidden="false" customHeight="true" outlineLevel="0" collapsed="false">
      <c r="A126" s="2"/>
      <c r="B126" s="2"/>
      <c r="C126" s="44"/>
      <c r="D126" s="2"/>
      <c r="E126" s="2"/>
      <c r="F126" s="2"/>
      <c r="G126" s="2"/>
      <c r="H126" s="2"/>
      <c r="I126" s="2"/>
    </row>
    <row r="127" customFormat="false" ht="15" hidden="false" customHeight="true" outlineLevel="0" collapsed="false">
      <c r="A127" s="2"/>
      <c r="B127" s="2"/>
      <c r="C127" s="44"/>
      <c r="D127" s="2"/>
      <c r="E127" s="2"/>
      <c r="F127" s="2"/>
      <c r="G127" s="2"/>
      <c r="H127" s="2"/>
      <c r="I127" s="2"/>
    </row>
    <row r="128" customFormat="false" ht="15" hidden="false" customHeight="true" outlineLevel="0" collapsed="false">
      <c r="A128" s="2"/>
      <c r="B128" s="2"/>
      <c r="C128" s="44"/>
      <c r="D128" s="2"/>
      <c r="E128" s="2"/>
      <c r="F128" s="2"/>
      <c r="G128" s="2"/>
      <c r="H128" s="2"/>
      <c r="I128" s="2"/>
    </row>
    <row r="129" customFormat="false" ht="15" hidden="false" customHeight="true" outlineLevel="0" collapsed="false">
      <c r="A129" s="2"/>
      <c r="B129" s="2"/>
      <c r="C129" s="44"/>
      <c r="D129" s="2"/>
      <c r="E129" s="2"/>
      <c r="F129" s="2"/>
      <c r="G129" s="2"/>
      <c r="H129" s="2"/>
      <c r="I129" s="2"/>
    </row>
    <row r="130" customFormat="false" ht="23.25" hidden="false" customHeight="true" outlineLevel="0" collapsed="false"/>
    <row r="132" customFormat="false" ht="15" hidden="false" customHeight="false" outlineLevel="0" collapsed="false">
      <c r="A132" s="2"/>
      <c r="B132" s="5" t="s">
        <v>319</v>
      </c>
      <c r="C132" s="5"/>
      <c r="D132" s="5"/>
      <c r="E132" s="5"/>
      <c r="F132" s="5"/>
      <c r="G132" s="5"/>
      <c r="H132" s="5"/>
      <c r="I132" s="2"/>
    </row>
    <row r="133" customFormat="false" ht="15" hidden="false" customHeight="true" outlineLevel="0" collapsed="false">
      <c r="A133" s="2"/>
      <c r="B133" s="73" t="s">
        <v>320</v>
      </c>
      <c r="C133" s="73"/>
      <c r="D133" s="73"/>
      <c r="E133" s="73"/>
      <c r="F133" s="73"/>
      <c r="G133" s="73"/>
      <c r="H133" s="73"/>
      <c r="I133" s="2"/>
    </row>
    <row r="134" customFormat="false" ht="15" hidden="false" customHeight="false" outlineLevel="0" collapsed="false">
      <c r="A134" s="2"/>
      <c r="B134" s="73"/>
      <c r="C134" s="73"/>
      <c r="D134" s="73"/>
      <c r="E134" s="73"/>
      <c r="F134" s="73"/>
      <c r="G134" s="73"/>
      <c r="H134" s="73"/>
      <c r="I134" s="2"/>
    </row>
    <row r="135" customFormat="false" ht="15" hidden="false" customHeight="false" outlineLevel="0" collapsed="false">
      <c r="A135" s="2"/>
      <c r="B135" s="73"/>
      <c r="C135" s="73"/>
      <c r="D135" s="73"/>
      <c r="E135" s="73"/>
      <c r="F135" s="73"/>
      <c r="G135" s="73"/>
      <c r="H135" s="73"/>
      <c r="I135" s="2"/>
    </row>
    <row r="136" customFormat="false" ht="23.85" hidden="false" customHeight="true" outlineLevel="0" collapsed="false">
      <c r="A136" s="2"/>
      <c r="B136" s="74" t="s">
        <v>321</v>
      </c>
      <c r="C136" s="74"/>
      <c r="D136" s="74"/>
      <c r="E136" s="74"/>
      <c r="F136" s="74"/>
      <c r="G136" s="74"/>
      <c r="H136" s="74"/>
      <c r="I136" s="2"/>
    </row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</sheetData>
  <mergeCells count="34">
    <mergeCell ref="B2:H2"/>
    <mergeCell ref="B3:H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0:H10"/>
    <mergeCell ref="B16:H16"/>
    <mergeCell ref="B29:H29"/>
    <mergeCell ref="B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B132:H132"/>
    <mergeCell ref="B133:H135"/>
    <mergeCell ref="B136:H1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2026-06-26T10:36:02Z</dcterms:created>
  <dc:creator>openpyxl</dc:creator>
  <dc:description/>
  <dc:language>en-US</dc:language>
  <cp:lastModifiedBy/>
  <dcterms:modified xsi:type="dcterms:W3CDTF">2026-06-26T18:16:54Z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